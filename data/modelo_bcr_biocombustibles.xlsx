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r.sharepoint.com/sites/DIyEE587/Documentos compartidos/General/DIYEE - IYEE (Privado)/IACA/IACA/BIOCOMBUSTIBLES - UCA/"/>
    </mc:Choice>
  </mc:AlternateContent>
  <xr:revisionPtr revIDLastSave="307" documentId="8_{84DB4D1D-7098-4315-810A-EEE23F94A0E2}" xr6:coauthVersionLast="47" xr6:coauthVersionMax="47" xr10:uidLastSave="{461AE73C-0B84-48E4-A37C-E59915B5384C}"/>
  <bookViews>
    <workbookView xWindow="-120" yWindow="-120" windowWidth="20730" windowHeight="11040" xr2:uid="{44571DEB-FEFF-4DB5-B844-827445E7D62A}"/>
  </bookViews>
  <sheets>
    <sheet name="BIOCOMBUSTIBLES" sheetId="1" r:id="rId1"/>
  </sheets>
  <definedNames>
    <definedName name="AJESTA">BIOCOMBUSTIBLES!#REF!</definedName>
    <definedName name="DERx2">#REF!</definedName>
    <definedName name="FECHA_0">#REF!</definedName>
    <definedName name="FECHA_1">#REF!</definedName>
    <definedName name="FECHA_2">#REF!</definedName>
    <definedName name="FECHA_3">#REF!</definedName>
    <definedName name="RES_0">#REF!</definedName>
    <definedName name="RES_1">#REF!</definedName>
    <definedName name="RES_2">#REF!</definedName>
    <definedName name="RES_3">#REF!</definedName>
    <definedName name="RES_3B">#REF!</definedName>
    <definedName name="RES_4">#REF!</definedName>
    <definedName name="RES_4B">#REF!</definedName>
    <definedName name="RES_5">#REF!</definedName>
    <definedName name="ULT_OBS">#REF!</definedName>
    <definedName name="VARA">BIOCOMBUSTIBLES!#REF!</definedName>
    <definedName name="VARAS">BIOCOMBUSTIBLES!#REF!</definedName>
    <definedName name="VARMEN">BIOCOMBUSTIBLES!#REF!</definedName>
    <definedName name="VARPRO">BIOCOMBUSTIBLES!#REF!</definedName>
    <definedName name="VAS">BIOCOMBUSTIBLES!#REF!</definedName>
    <definedName name="VAS_06">BIOCOMBUSTIBLES!#REF!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226" i="1" l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2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C2" i="1"/>
  <c r="P2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S243" i="1"/>
  <c r="O243" i="1"/>
  <c r="F243" i="1"/>
  <c r="B243" i="1"/>
  <c r="S242" i="1"/>
  <c r="O242" i="1"/>
  <c r="F242" i="1"/>
  <c r="B242" i="1"/>
  <c r="S241" i="1"/>
  <c r="O241" i="1"/>
  <c r="F241" i="1"/>
  <c r="B241" i="1"/>
  <c r="S240" i="1"/>
  <c r="O240" i="1"/>
  <c r="F240" i="1"/>
  <c r="B240" i="1"/>
  <c r="S239" i="1"/>
  <c r="O239" i="1"/>
  <c r="F239" i="1"/>
  <c r="B239" i="1"/>
  <c r="O238" i="1"/>
  <c r="B238" i="1"/>
  <c r="O237" i="1"/>
  <c r="B237" i="1"/>
  <c r="O236" i="1"/>
  <c r="B236" i="1"/>
  <c r="O235" i="1"/>
  <c r="B235" i="1"/>
  <c r="O234" i="1"/>
  <c r="B234" i="1"/>
  <c r="O233" i="1"/>
  <c r="B233" i="1"/>
  <c r="O232" i="1"/>
  <c r="B232" i="1"/>
  <c r="O231" i="1"/>
  <c r="B231" i="1"/>
  <c r="O230" i="1"/>
  <c r="B230" i="1"/>
  <c r="O229" i="1"/>
  <c r="B229" i="1"/>
  <c r="O228" i="1"/>
  <c r="B228" i="1"/>
  <c r="O227" i="1"/>
  <c r="B227" i="1"/>
  <c r="C30" i="1" l="1"/>
  <c r="I30" i="1" s="1"/>
  <c r="J30" i="1" s="1"/>
  <c r="C4" i="1"/>
  <c r="P242" i="1"/>
  <c r="C241" i="1"/>
  <c r="I241" i="1" s="1"/>
  <c r="P240" i="1"/>
  <c r="P239" i="1"/>
  <c r="P237" i="1"/>
  <c r="P234" i="1"/>
  <c r="P230" i="1"/>
  <c r="P228" i="1"/>
  <c r="C239" i="1"/>
  <c r="I239" i="1" s="1"/>
  <c r="C237" i="1"/>
  <c r="I237" i="1" s="1"/>
  <c r="P235" i="1"/>
  <c r="C233" i="1"/>
  <c r="I233" i="1" s="1"/>
  <c r="C232" i="1"/>
  <c r="I232" i="1" s="1"/>
  <c r="C231" i="1"/>
  <c r="I231" i="1" s="1"/>
  <c r="C230" i="1"/>
  <c r="I230" i="1" s="1"/>
  <c r="C229" i="1"/>
  <c r="I229" i="1" s="1"/>
  <c r="P227" i="1"/>
  <c r="C242" i="1"/>
  <c r="I242" i="1" s="1"/>
  <c r="P241" i="1"/>
  <c r="P238" i="1"/>
  <c r="C235" i="1"/>
  <c r="I235" i="1" s="1"/>
  <c r="C234" i="1"/>
  <c r="I234" i="1" s="1"/>
  <c r="P232" i="1"/>
  <c r="P231" i="1"/>
  <c r="P229" i="1"/>
  <c r="P243" i="1"/>
  <c r="C240" i="1"/>
  <c r="I240" i="1" s="1"/>
  <c r="C236" i="1"/>
  <c r="I236" i="1" s="1"/>
  <c r="C228" i="1"/>
  <c r="I228" i="1" s="1"/>
  <c r="C243" i="1"/>
  <c r="I243" i="1" s="1"/>
  <c r="C238" i="1"/>
  <c r="I238" i="1" s="1"/>
  <c r="P236" i="1"/>
  <c r="P233" i="1"/>
  <c r="C227" i="1"/>
  <c r="I227" i="1" s="1"/>
  <c r="V243" i="1"/>
  <c r="R243" i="1"/>
  <c r="V242" i="1"/>
  <c r="R242" i="1"/>
  <c r="V235" i="1"/>
  <c r="R235" i="1"/>
  <c r="V241" i="1"/>
  <c r="R241" i="1"/>
  <c r="V234" i="1"/>
  <c r="R234" i="1"/>
  <c r="V240" i="1"/>
  <c r="R240" i="1"/>
  <c r="V239" i="1"/>
  <c r="R239" i="1"/>
  <c r="V233" i="1"/>
  <c r="R233" i="1"/>
  <c r="V238" i="1"/>
  <c r="R238" i="1"/>
  <c r="V232" i="1"/>
  <c r="R232" i="1"/>
  <c r="V231" i="1"/>
  <c r="R231" i="1"/>
  <c r="V230" i="1"/>
  <c r="V237" i="1"/>
  <c r="R237" i="1"/>
  <c r="R230" i="1"/>
  <c r="V229" i="1"/>
  <c r="R229" i="1"/>
  <c r="V228" i="1"/>
  <c r="R228" i="1"/>
  <c r="V227" i="1"/>
  <c r="R227" i="1"/>
  <c r="V236" i="1"/>
  <c r="R236" i="1"/>
  <c r="P141" i="1"/>
  <c r="V141" i="1" s="1"/>
  <c r="W141" i="1" s="1"/>
  <c r="P197" i="1"/>
  <c r="V197" i="1" s="1"/>
  <c r="W197" i="1" s="1"/>
  <c r="P177" i="1"/>
  <c r="V177" i="1" s="1"/>
  <c r="W177" i="1" s="1"/>
  <c r="P176" i="1"/>
  <c r="V176" i="1" s="1"/>
  <c r="W176" i="1" s="1"/>
  <c r="P59" i="1"/>
  <c r="V59" i="1" s="1"/>
  <c r="W59" i="1" s="1"/>
  <c r="P212" i="1"/>
  <c r="V212" i="1" s="1"/>
  <c r="W212" i="1" s="1"/>
  <c r="P202" i="1"/>
  <c r="V202" i="1" s="1"/>
  <c r="W202" i="1" s="1"/>
  <c r="P98" i="1"/>
  <c r="V98" i="1" s="1"/>
  <c r="W98" i="1" s="1"/>
  <c r="P170" i="1"/>
  <c r="V170" i="1" s="1"/>
  <c r="W170" i="1" s="1"/>
  <c r="P171" i="1"/>
  <c r="V171" i="1" s="1"/>
  <c r="W171" i="1" s="1"/>
  <c r="P187" i="1"/>
  <c r="V187" i="1" s="1"/>
  <c r="W187" i="1" s="1"/>
  <c r="P150" i="1"/>
  <c r="V150" i="1" s="1"/>
  <c r="W150" i="1" s="1"/>
  <c r="P182" i="1"/>
  <c r="V182" i="1" s="1"/>
  <c r="W182" i="1" s="1"/>
  <c r="P149" i="1"/>
  <c r="V149" i="1" s="1"/>
  <c r="W149" i="1" s="1"/>
  <c r="P148" i="1"/>
  <c r="V148" i="1" s="1"/>
  <c r="W148" i="1" s="1"/>
  <c r="P48" i="1"/>
  <c r="V48" i="1" s="1"/>
  <c r="W48" i="1" s="1"/>
  <c r="P58" i="1"/>
  <c r="V58" i="1" s="1"/>
  <c r="W58" i="1" s="1"/>
  <c r="P163" i="1"/>
  <c r="V163" i="1" s="1"/>
  <c r="W163" i="1" s="1"/>
  <c r="P226" i="1"/>
  <c r="V226" i="1" s="1"/>
  <c r="W226" i="1" s="1"/>
  <c r="P186" i="1"/>
  <c r="V186" i="1" s="1"/>
  <c r="W186" i="1" s="1"/>
  <c r="P71" i="1"/>
  <c r="V71" i="1" s="1"/>
  <c r="W71" i="1" s="1"/>
  <c r="P138" i="1"/>
  <c r="V138" i="1" s="1"/>
  <c r="W138" i="1" s="1"/>
  <c r="P135" i="1"/>
  <c r="V135" i="1" s="1"/>
  <c r="W135" i="1" s="1"/>
  <c r="P62" i="1"/>
  <c r="V62" i="1" s="1"/>
  <c r="W62" i="1" s="1"/>
  <c r="P121" i="1"/>
  <c r="V121" i="1" s="1"/>
  <c r="W121" i="1" s="1"/>
  <c r="P208" i="1"/>
  <c r="V208" i="1" s="1"/>
  <c r="W208" i="1" s="1"/>
  <c r="P143" i="1"/>
  <c r="V143" i="1" s="1"/>
  <c r="W143" i="1" s="1"/>
  <c r="P34" i="1"/>
  <c r="V34" i="1" s="1"/>
  <c r="W34" i="1" s="1"/>
  <c r="P207" i="1"/>
  <c r="V207" i="1" s="1"/>
  <c r="W207" i="1" s="1"/>
  <c r="P179" i="1"/>
  <c r="V179" i="1" s="1"/>
  <c r="W179" i="1" s="1"/>
  <c r="P151" i="1"/>
  <c r="V151" i="1" s="1"/>
  <c r="W151" i="1" s="1"/>
  <c r="P196" i="1"/>
  <c r="V196" i="1" s="1"/>
  <c r="W196" i="1" s="1"/>
  <c r="P96" i="1"/>
  <c r="V96" i="1" s="1"/>
  <c r="W96" i="1" s="1"/>
  <c r="P66" i="1"/>
  <c r="V66" i="1" s="1"/>
  <c r="W66" i="1" s="1"/>
  <c r="P114" i="1"/>
  <c r="V114" i="1" s="1"/>
  <c r="W114" i="1" s="1"/>
  <c r="P91" i="1"/>
  <c r="V91" i="1" s="1"/>
  <c r="W91" i="1" s="1"/>
  <c r="P36" i="1"/>
  <c r="V36" i="1" s="1"/>
  <c r="W36" i="1" s="1"/>
  <c r="P144" i="1"/>
  <c r="V144" i="1" s="1"/>
  <c r="W144" i="1" s="1"/>
  <c r="P61" i="1"/>
  <c r="V61" i="1" s="1"/>
  <c r="W61" i="1" s="1"/>
  <c r="P67" i="1"/>
  <c r="V67" i="1" s="1"/>
  <c r="W67" i="1" s="1"/>
  <c r="P181" i="1"/>
  <c r="V181" i="1" s="1"/>
  <c r="W181" i="1" s="1"/>
  <c r="P185" i="1"/>
  <c r="V185" i="1" s="1"/>
  <c r="W185" i="1" s="1"/>
  <c r="P65" i="1"/>
  <c r="V65" i="1" s="1"/>
  <c r="W65" i="1" s="1"/>
  <c r="P172" i="1"/>
  <c r="V172" i="1" s="1"/>
  <c r="W172" i="1" s="1"/>
  <c r="P122" i="1"/>
  <c r="V122" i="1" s="1"/>
  <c r="W122" i="1" s="1"/>
  <c r="P74" i="1"/>
  <c r="V74" i="1" s="1"/>
  <c r="W74" i="1" s="1"/>
  <c r="P94" i="1"/>
  <c r="V94" i="1" s="1"/>
  <c r="W94" i="1" s="1"/>
  <c r="P220" i="1"/>
  <c r="V220" i="1" s="1"/>
  <c r="W220" i="1" s="1"/>
  <c r="P93" i="1"/>
  <c r="V93" i="1" s="1"/>
  <c r="W93" i="1" s="1"/>
  <c r="P210" i="1"/>
  <c r="V210" i="1" s="1"/>
  <c r="W210" i="1" s="1"/>
  <c r="P205" i="1"/>
  <c r="V205" i="1" s="1"/>
  <c r="W205" i="1" s="1"/>
  <c r="P126" i="1"/>
  <c r="V126" i="1" s="1"/>
  <c r="W126" i="1" s="1"/>
  <c r="P162" i="1"/>
  <c r="V162" i="1" s="1"/>
  <c r="W162" i="1" s="1"/>
  <c r="P136" i="1"/>
  <c r="V136" i="1" s="1"/>
  <c r="W136" i="1" s="1"/>
  <c r="P139" i="1"/>
  <c r="V139" i="1" s="1"/>
  <c r="W139" i="1" s="1"/>
  <c r="P129" i="1"/>
  <c r="V129" i="1" s="1"/>
  <c r="W129" i="1" s="1"/>
  <c r="P184" i="1"/>
  <c r="V184" i="1" s="1"/>
  <c r="W184" i="1" s="1"/>
  <c r="P198" i="1"/>
  <c r="V198" i="1" s="1"/>
  <c r="W198" i="1" s="1"/>
  <c r="P145" i="1"/>
  <c r="V145" i="1" s="1"/>
  <c r="W145" i="1" s="1"/>
  <c r="P128" i="1"/>
  <c r="V128" i="1" s="1"/>
  <c r="W128" i="1" s="1"/>
  <c r="P140" i="1"/>
  <c r="V140" i="1" s="1"/>
  <c r="W140" i="1" s="1"/>
  <c r="P28" i="1"/>
  <c r="V28" i="1" s="1"/>
  <c r="W28" i="1" s="1"/>
  <c r="P211" i="1"/>
  <c r="V211" i="1" s="1"/>
  <c r="W211" i="1" s="1"/>
  <c r="P116" i="1"/>
  <c r="V116" i="1" s="1"/>
  <c r="W116" i="1" s="1"/>
  <c r="P173" i="1"/>
  <c r="V173" i="1" s="1"/>
  <c r="W173" i="1" s="1"/>
  <c r="P33" i="1"/>
  <c r="V33" i="1" s="1"/>
  <c r="W33" i="1" s="1"/>
  <c r="P120" i="1"/>
  <c r="V120" i="1" s="1"/>
  <c r="W120" i="1" s="1"/>
  <c r="P95" i="1"/>
  <c r="V95" i="1" s="1"/>
  <c r="W95" i="1" s="1"/>
  <c r="P92" i="1"/>
  <c r="V92" i="1" s="1"/>
  <c r="W92" i="1" s="1"/>
  <c r="P142" i="1"/>
  <c r="V142" i="1" s="1"/>
  <c r="W142" i="1" s="1"/>
  <c r="P178" i="1"/>
  <c r="V178" i="1" s="1"/>
  <c r="W178" i="1" s="1"/>
  <c r="P199" i="1"/>
  <c r="V199" i="1" s="1"/>
  <c r="W199" i="1" s="1"/>
  <c r="P161" i="1"/>
  <c r="V161" i="1" s="1"/>
  <c r="W161" i="1" s="1"/>
  <c r="P174" i="1"/>
  <c r="V174" i="1" s="1"/>
  <c r="W174" i="1" s="1"/>
  <c r="P73" i="1"/>
  <c r="V73" i="1" s="1"/>
  <c r="W73" i="1" s="1"/>
  <c r="P64" i="1"/>
  <c r="V64" i="1" s="1"/>
  <c r="W64" i="1" s="1"/>
  <c r="P180" i="1"/>
  <c r="V180" i="1" s="1"/>
  <c r="W180" i="1" s="1"/>
  <c r="P224" i="1"/>
  <c r="V224" i="1" s="1"/>
  <c r="W224" i="1" s="1"/>
  <c r="P70" i="1"/>
  <c r="V70" i="1" s="1"/>
  <c r="W70" i="1" s="1"/>
  <c r="P183" i="1"/>
  <c r="V183" i="1" s="1"/>
  <c r="W183" i="1" s="1"/>
  <c r="P119" i="1"/>
  <c r="V119" i="1" s="1"/>
  <c r="W119" i="1" s="1"/>
  <c r="P115" i="1"/>
  <c r="V115" i="1" s="1"/>
  <c r="W115" i="1" s="1"/>
  <c r="P209" i="1"/>
  <c r="V209" i="1" s="1"/>
  <c r="W209" i="1" s="1"/>
  <c r="P32" i="1"/>
  <c r="V32" i="1" s="1"/>
  <c r="W32" i="1" s="1"/>
  <c r="P137" i="1"/>
  <c r="V137" i="1" s="1"/>
  <c r="W137" i="1" s="1"/>
  <c r="P72" i="1"/>
  <c r="V72" i="1" s="1"/>
  <c r="W72" i="1" s="1"/>
  <c r="P175" i="1"/>
  <c r="V175" i="1" s="1"/>
  <c r="W175" i="1" s="1"/>
  <c r="P60" i="1"/>
  <c r="V60" i="1" s="1"/>
  <c r="W60" i="1" s="1"/>
  <c r="P203" i="1"/>
  <c r="V203" i="1" s="1"/>
  <c r="W203" i="1" s="1"/>
  <c r="P69" i="1"/>
  <c r="V69" i="1" s="1"/>
  <c r="W69" i="1" s="1"/>
  <c r="P97" i="1"/>
  <c r="V97" i="1" s="1"/>
  <c r="W97" i="1" s="1"/>
  <c r="P53" i="1"/>
  <c r="V53" i="1" s="1"/>
  <c r="W53" i="1" s="1"/>
  <c r="P130" i="1"/>
  <c r="V130" i="1" s="1"/>
  <c r="W130" i="1" s="1"/>
  <c r="P204" i="1"/>
  <c r="V204" i="1" s="1"/>
  <c r="W204" i="1" s="1"/>
  <c r="P54" i="1"/>
  <c r="V54" i="1" s="1"/>
  <c r="W54" i="1" s="1"/>
  <c r="P127" i="1"/>
  <c r="V127" i="1" s="1"/>
  <c r="W127" i="1" s="1"/>
  <c r="P154" i="1"/>
  <c r="V154" i="1" s="1"/>
  <c r="W154" i="1" s="1"/>
  <c r="P216" i="1"/>
  <c r="V216" i="1" s="1"/>
  <c r="W216" i="1" s="1"/>
  <c r="P146" i="1"/>
  <c r="V146" i="1" s="1"/>
  <c r="W146" i="1" s="1"/>
  <c r="P225" i="1"/>
  <c r="V225" i="1" s="1"/>
  <c r="W225" i="1" s="1"/>
  <c r="P160" i="1"/>
  <c r="V160" i="1" s="1"/>
  <c r="W160" i="1" s="1"/>
  <c r="P124" i="1"/>
  <c r="V124" i="1" s="1"/>
  <c r="W124" i="1" s="1"/>
  <c r="P200" i="1"/>
  <c r="V200" i="1" s="1"/>
  <c r="W200" i="1" s="1"/>
  <c r="P63" i="1"/>
  <c r="V63" i="1" s="1"/>
  <c r="W63" i="1" s="1"/>
  <c r="P221" i="1"/>
  <c r="V221" i="1" s="1"/>
  <c r="W221" i="1" s="1"/>
  <c r="P37" i="1"/>
  <c r="V37" i="1" s="1"/>
  <c r="W37" i="1" s="1"/>
  <c r="P215" i="1"/>
  <c r="V215" i="1" s="1"/>
  <c r="W215" i="1" s="1"/>
  <c r="P35" i="1"/>
  <c r="V35" i="1" s="1"/>
  <c r="W35" i="1" s="1"/>
  <c r="P55" i="1"/>
  <c r="V55" i="1" s="1"/>
  <c r="W55" i="1" s="1"/>
  <c r="P158" i="1"/>
  <c r="V158" i="1" s="1"/>
  <c r="W158" i="1" s="1"/>
  <c r="P153" i="1"/>
  <c r="V153" i="1" s="1"/>
  <c r="W153" i="1" s="1"/>
  <c r="P157" i="1"/>
  <c r="V157" i="1" s="1"/>
  <c r="W157" i="1" s="1"/>
  <c r="P223" i="1"/>
  <c r="V223" i="1" s="1"/>
  <c r="W223" i="1" s="1"/>
  <c r="P214" i="1"/>
  <c r="V214" i="1" s="1"/>
  <c r="W214" i="1" s="1"/>
  <c r="P206" i="1"/>
  <c r="V206" i="1" s="1"/>
  <c r="W206" i="1" s="1"/>
  <c r="P117" i="1"/>
  <c r="V117" i="1" s="1"/>
  <c r="W117" i="1" s="1"/>
  <c r="P56" i="1"/>
  <c r="V56" i="1" s="1"/>
  <c r="W56" i="1" s="1"/>
  <c r="P222" i="1"/>
  <c r="V222" i="1" s="1"/>
  <c r="W222" i="1" s="1"/>
  <c r="P123" i="1"/>
  <c r="V123" i="1" s="1"/>
  <c r="W123" i="1" s="1"/>
  <c r="P152" i="1"/>
  <c r="V152" i="1" s="1"/>
  <c r="W152" i="1" s="1"/>
  <c r="P118" i="1"/>
  <c r="V118" i="1" s="1"/>
  <c r="W118" i="1" s="1"/>
  <c r="P213" i="1"/>
  <c r="V213" i="1" s="1"/>
  <c r="W213" i="1" s="1"/>
  <c r="P68" i="1"/>
  <c r="V68" i="1" s="1"/>
  <c r="W68" i="1" s="1"/>
  <c r="P101" i="1"/>
  <c r="V101" i="1" s="1"/>
  <c r="W101" i="1" s="1"/>
  <c r="P201" i="1"/>
  <c r="V201" i="1" s="1"/>
  <c r="W201" i="1" s="1"/>
  <c r="P147" i="1"/>
  <c r="V147" i="1" s="1"/>
  <c r="W147" i="1" s="1"/>
  <c r="P57" i="1"/>
  <c r="V57" i="1" s="1"/>
  <c r="W57" i="1" s="1"/>
  <c r="P75" i="1"/>
  <c r="V75" i="1" s="1"/>
  <c r="W75" i="1" s="1"/>
  <c r="P47" i="1"/>
  <c r="V47" i="1" s="1"/>
  <c r="W47" i="1" s="1"/>
  <c r="P31" i="1"/>
  <c r="V31" i="1" s="1"/>
  <c r="W31" i="1" s="1"/>
  <c r="P76" i="1"/>
  <c r="V76" i="1" s="1"/>
  <c r="W76" i="1" s="1"/>
  <c r="P156" i="1"/>
  <c r="V156" i="1" s="1"/>
  <c r="W156" i="1" s="1"/>
  <c r="P45" i="1"/>
  <c r="V45" i="1" s="1"/>
  <c r="W45" i="1" s="1"/>
  <c r="P113" i="1"/>
  <c r="V113" i="1" s="1"/>
  <c r="W113" i="1" s="1"/>
  <c r="P44" i="1"/>
  <c r="V44" i="1" s="1"/>
  <c r="W44" i="1" s="1"/>
  <c r="P77" i="1"/>
  <c r="V77" i="1" s="1"/>
  <c r="W77" i="1" s="1"/>
  <c r="P219" i="1"/>
  <c r="V219" i="1" s="1"/>
  <c r="W219" i="1" s="1"/>
  <c r="P78" i="1"/>
  <c r="V78" i="1" s="1"/>
  <c r="W78" i="1" s="1"/>
  <c r="P42" i="1"/>
  <c r="V42" i="1" s="1"/>
  <c r="W42" i="1" s="1"/>
  <c r="P112" i="1"/>
  <c r="V112" i="1" s="1"/>
  <c r="W112" i="1" s="1"/>
  <c r="P41" i="1"/>
  <c r="V41" i="1" s="1"/>
  <c r="W41" i="1" s="1"/>
  <c r="P79" i="1"/>
  <c r="V79" i="1" s="1"/>
  <c r="W79" i="1" s="1"/>
  <c r="P80" i="1"/>
  <c r="V80" i="1" s="1"/>
  <c r="W80" i="1" s="1"/>
  <c r="P111" i="1"/>
  <c r="V111" i="1" s="1"/>
  <c r="W111" i="1" s="1"/>
  <c r="P38" i="1"/>
  <c r="V38" i="1" s="1"/>
  <c r="W38" i="1" s="1"/>
  <c r="P81" i="1"/>
  <c r="V81" i="1" s="1"/>
  <c r="W81" i="1" s="1"/>
  <c r="P164" i="1"/>
  <c r="V164" i="1" s="1"/>
  <c r="W164" i="1" s="1"/>
  <c r="P82" i="1"/>
  <c r="V82" i="1" s="1"/>
  <c r="W82" i="1" s="1"/>
  <c r="P110" i="1"/>
  <c r="V110" i="1" s="1"/>
  <c r="W110" i="1" s="1"/>
  <c r="P131" i="1"/>
  <c r="V131" i="1" s="1"/>
  <c r="W131" i="1" s="1"/>
  <c r="P83" i="1"/>
  <c r="V83" i="1" s="1"/>
  <c r="W83" i="1" s="1"/>
  <c r="P30" i="1"/>
  <c r="V30" i="1" s="1"/>
  <c r="W30" i="1" s="1"/>
  <c r="P84" i="1"/>
  <c r="V84" i="1" s="1"/>
  <c r="W84" i="1" s="1"/>
  <c r="P109" i="1"/>
  <c r="V109" i="1" s="1"/>
  <c r="W109" i="1" s="1"/>
  <c r="P99" i="1"/>
  <c r="V99" i="1" s="1"/>
  <c r="W99" i="1" s="1"/>
  <c r="P85" i="1"/>
  <c r="V85" i="1" s="1"/>
  <c r="W85" i="1" s="1"/>
  <c r="P86" i="1"/>
  <c r="V86" i="1" s="1"/>
  <c r="W86" i="1" s="1"/>
  <c r="P108" i="1"/>
  <c r="V108" i="1" s="1"/>
  <c r="W108" i="1" s="1"/>
  <c r="P87" i="1"/>
  <c r="V87" i="1" s="1"/>
  <c r="W87" i="1" s="1"/>
  <c r="P125" i="1"/>
  <c r="V125" i="1" s="1"/>
  <c r="W125" i="1" s="1"/>
  <c r="P88" i="1"/>
  <c r="V88" i="1" s="1"/>
  <c r="W88" i="1" s="1"/>
  <c r="P159" i="1"/>
  <c r="V159" i="1" s="1"/>
  <c r="W159" i="1" s="1"/>
  <c r="P218" i="1"/>
  <c r="V218" i="1" s="1"/>
  <c r="W218" i="1" s="1"/>
  <c r="P107" i="1"/>
  <c r="V107" i="1" s="1"/>
  <c r="W107" i="1" s="1"/>
  <c r="P100" i="1"/>
  <c r="V100" i="1" s="1"/>
  <c r="W100" i="1" s="1"/>
  <c r="P89" i="1"/>
  <c r="V89" i="1" s="1"/>
  <c r="W89" i="1" s="1"/>
  <c r="P90" i="1"/>
  <c r="V90" i="1" s="1"/>
  <c r="W90" i="1" s="1"/>
  <c r="P106" i="1"/>
  <c r="V106" i="1" s="1"/>
  <c r="W106" i="1" s="1"/>
  <c r="P29" i="1"/>
  <c r="V29" i="1" s="1"/>
  <c r="W29" i="1" s="1"/>
  <c r="P39" i="1"/>
  <c r="V39" i="1" s="1"/>
  <c r="W39" i="1" s="1"/>
  <c r="P40" i="1"/>
  <c r="V40" i="1" s="1"/>
  <c r="W40" i="1" s="1"/>
  <c r="P105" i="1"/>
  <c r="V105" i="1" s="1"/>
  <c r="W105" i="1" s="1"/>
  <c r="P165" i="1"/>
  <c r="V165" i="1" s="1"/>
  <c r="W165" i="1" s="1"/>
  <c r="P43" i="1"/>
  <c r="V43" i="1" s="1"/>
  <c r="W43" i="1" s="1"/>
  <c r="P46" i="1"/>
  <c r="V46" i="1" s="1"/>
  <c r="W46" i="1" s="1"/>
  <c r="P132" i="1"/>
  <c r="V132" i="1" s="1"/>
  <c r="W132" i="1" s="1"/>
  <c r="P104" i="1"/>
  <c r="V104" i="1" s="1"/>
  <c r="W104" i="1" s="1"/>
  <c r="P49" i="1"/>
  <c r="V49" i="1" s="1"/>
  <c r="W49" i="1" s="1"/>
  <c r="P155" i="1"/>
  <c r="V155" i="1" s="1"/>
  <c r="W155" i="1" s="1"/>
  <c r="P195" i="1"/>
  <c r="V195" i="1" s="1"/>
  <c r="W195" i="1" s="1"/>
  <c r="P50" i="1"/>
  <c r="V50" i="1" s="1"/>
  <c r="W50" i="1" s="1"/>
  <c r="P103" i="1"/>
  <c r="V103" i="1" s="1"/>
  <c r="W103" i="1" s="1"/>
  <c r="P194" i="1"/>
  <c r="V194" i="1" s="1"/>
  <c r="W194" i="1" s="1"/>
  <c r="P52" i="1"/>
  <c r="V52" i="1" s="1"/>
  <c r="W52" i="1" s="1"/>
  <c r="P193" i="1"/>
  <c r="V193" i="1" s="1"/>
  <c r="W193" i="1" s="1"/>
  <c r="P102" i="1"/>
  <c r="V102" i="1" s="1"/>
  <c r="W102" i="1" s="1"/>
  <c r="P166" i="1"/>
  <c r="V166" i="1" s="1"/>
  <c r="W166" i="1" s="1"/>
  <c r="P51" i="1"/>
  <c r="V51" i="1" s="1"/>
  <c r="W51" i="1" s="1"/>
  <c r="P192" i="1"/>
  <c r="V192" i="1" s="1"/>
  <c r="W192" i="1" s="1"/>
  <c r="P191" i="1"/>
  <c r="V191" i="1" s="1"/>
  <c r="W191" i="1" s="1"/>
  <c r="P167" i="1"/>
  <c r="V167" i="1" s="1"/>
  <c r="W167" i="1" s="1"/>
  <c r="P133" i="1"/>
  <c r="V133" i="1" s="1"/>
  <c r="W133" i="1" s="1"/>
  <c r="P217" i="1"/>
  <c r="V217" i="1" s="1"/>
  <c r="W217" i="1" s="1"/>
  <c r="P190" i="1"/>
  <c r="V190" i="1" s="1"/>
  <c r="W190" i="1" s="1"/>
  <c r="P168" i="1"/>
  <c r="V168" i="1" s="1"/>
  <c r="W168" i="1" s="1"/>
  <c r="P134" i="1"/>
  <c r="V134" i="1" s="1"/>
  <c r="W134" i="1" s="1"/>
  <c r="P189" i="1"/>
  <c r="V189" i="1" s="1"/>
  <c r="W189" i="1" s="1"/>
  <c r="P169" i="1"/>
  <c r="V169" i="1" s="1"/>
  <c r="W169" i="1" s="1"/>
  <c r="P188" i="1"/>
  <c r="V188" i="1" s="1"/>
  <c r="W188" i="1" s="1"/>
  <c r="E237" i="1"/>
  <c r="E236" i="1"/>
  <c r="E241" i="1"/>
  <c r="E232" i="1"/>
  <c r="E243" i="1"/>
  <c r="E242" i="1"/>
  <c r="E227" i="1"/>
  <c r="E235" i="1"/>
  <c r="E233" i="1"/>
  <c r="E228" i="1"/>
  <c r="E240" i="1"/>
  <c r="E239" i="1"/>
  <c r="E229" i="1"/>
  <c r="E238" i="1"/>
  <c r="E230" i="1"/>
  <c r="E231" i="1"/>
  <c r="E234" i="1"/>
  <c r="C148" i="1"/>
  <c r="I148" i="1" s="1"/>
  <c r="J148" i="1" s="1"/>
  <c r="C220" i="1"/>
  <c r="I220" i="1" s="1"/>
  <c r="J220" i="1" s="1"/>
  <c r="C40" i="1"/>
  <c r="I40" i="1" s="1"/>
  <c r="J40" i="1" s="1"/>
  <c r="C78" i="1"/>
  <c r="I78" i="1" s="1"/>
  <c r="J78" i="1" s="1"/>
  <c r="C17" i="1"/>
  <c r="I17" i="1" s="1"/>
  <c r="J17" i="1" s="1"/>
  <c r="C136" i="1"/>
  <c r="I136" i="1" s="1"/>
  <c r="J136" i="1" s="1"/>
  <c r="C203" i="1"/>
  <c r="I203" i="1" s="1"/>
  <c r="J203" i="1" s="1"/>
  <c r="C171" i="1"/>
  <c r="I171" i="1" s="1"/>
  <c r="J171" i="1" s="1"/>
  <c r="C219" i="1"/>
  <c r="I219" i="1" s="1"/>
  <c r="J219" i="1" s="1"/>
  <c r="C223" i="1"/>
  <c r="I223" i="1" s="1"/>
  <c r="J223" i="1" s="1"/>
  <c r="C207" i="1"/>
  <c r="I207" i="1" s="1"/>
  <c r="J207" i="1" s="1"/>
  <c r="C131" i="1"/>
  <c r="I131" i="1" s="1"/>
  <c r="J131" i="1" s="1"/>
  <c r="C128" i="1"/>
  <c r="I128" i="1" s="1"/>
  <c r="J128" i="1" s="1"/>
  <c r="C18" i="1"/>
  <c r="I18" i="1" s="1"/>
  <c r="J18" i="1" s="1"/>
  <c r="C112" i="1"/>
  <c r="I112" i="1" s="1"/>
  <c r="J112" i="1" s="1"/>
  <c r="C19" i="1"/>
  <c r="I19" i="1" s="1"/>
  <c r="J19" i="1" s="1"/>
  <c r="C79" i="1"/>
  <c r="I79" i="1" s="1"/>
  <c r="J79" i="1" s="1"/>
  <c r="C156" i="1"/>
  <c r="I156" i="1" s="1"/>
  <c r="J156" i="1" s="1"/>
  <c r="C20" i="1"/>
  <c r="I20" i="1" s="1"/>
  <c r="J20" i="1" s="1"/>
  <c r="C170" i="1"/>
  <c r="I170" i="1" s="1"/>
  <c r="J170" i="1" s="1"/>
  <c r="C80" i="1"/>
  <c r="I80" i="1" s="1"/>
  <c r="J80" i="1" s="1"/>
  <c r="C70" i="1"/>
  <c r="I70" i="1" s="1"/>
  <c r="J70" i="1" s="1"/>
  <c r="C135" i="1"/>
  <c r="I135" i="1" s="1"/>
  <c r="J135" i="1" s="1"/>
  <c r="C164" i="1"/>
  <c r="I164" i="1" s="1"/>
  <c r="J164" i="1" s="1"/>
  <c r="C44" i="1"/>
  <c r="I44" i="1" s="1"/>
  <c r="J44" i="1" s="1"/>
  <c r="C120" i="1"/>
  <c r="I120" i="1" s="1"/>
  <c r="J120" i="1" s="1"/>
  <c r="C21" i="1"/>
  <c r="I21" i="1" s="1"/>
  <c r="J21" i="1" s="1"/>
  <c r="C111" i="1"/>
  <c r="I111" i="1" s="1"/>
  <c r="J111" i="1" s="1"/>
  <c r="C158" i="1"/>
  <c r="I158" i="1" s="1"/>
  <c r="J158" i="1" s="1"/>
  <c r="C212" i="1"/>
  <c r="I212" i="1" s="1"/>
  <c r="J212" i="1" s="1"/>
  <c r="C38" i="1"/>
  <c r="I38" i="1" s="1"/>
  <c r="J38" i="1" s="1"/>
  <c r="C99" i="1"/>
  <c r="I99" i="1" s="1"/>
  <c r="J99" i="1" s="1"/>
  <c r="C75" i="1"/>
  <c r="I75" i="1" s="1"/>
  <c r="J75" i="1" s="1"/>
  <c r="C81" i="1"/>
  <c r="I81" i="1" s="1"/>
  <c r="J81" i="1" s="1"/>
  <c r="C147" i="1"/>
  <c r="I147" i="1" s="1"/>
  <c r="J147" i="1" s="1"/>
  <c r="C187" i="1"/>
  <c r="I187" i="1" s="1"/>
  <c r="J187" i="1" s="1"/>
  <c r="C68" i="1"/>
  <c r="I68" i="1" s="1"/>
  <c r="J68" i="1" s="1"/>
  <c r="C82" i="1"/>
  <c r="I82" i="1" s="1"/>
  <c r="J82" i="1" s="1"/>
  <c r="C48" i="1"/>
  <c r="I48" i="1" s="1"/>
  <c r="J48" i="1" s="1"/>
  <c r="C186" i="1"/>
  <c r="I186" i="1" s="1"/>
  <c r="J186" i="1" s="1"/>
  <c r="C144" i="1"/>
  <c r="I144" i="1" s="1"/>
  <c r="J144" i="1" s="1"/>
  <c r="C225" i="1"/>
  <c r="I225" i="1" s="1"/>
  <c r="J225" i="1" s="1"/>
  <c r="C50" i="1"/>
  <c r="I50" i="1" s="1"/>
  <c r="J50" i="1" s="1"/>
  <c r="C114" i="1"/>
  <c r="I114" i="1" s="1"/>
  <c r="J114" i="1" s="1"/>
  <c r="C146" i="1"/>
  <c r="I146" i="1" s="1"/>
  <c r="J146" i="1" s="1"/>
  <c r="C110" i="1"/>
  <c r="I110" i="1" s="1"/>
  <c r="J110" i="1" s="1"/>
  <c r="C151" i="1"/>
  <c r="I151" i="1" s="1"/>
  <c r="J151" i="1" s="1"/>
  <c r="C43" i="1"/>
  <c r="I43" i="1" s="1"/>
  <c r="J43" i="1" s="1"/>
  <c r="C83" i="1"/>
  <c r="I83" i="1" s="1"/>
  <c r="J83" i="1" s="1"/>
  <c r="C185" i="1"/>
  <c r="I185" i="1" s="1"/>
  <c r="J185" i="1" s="1"/>
  <c r="C69" i="1"/>
  <c r="I69" i="1" s="1"/>
  <c r="J69" i="1" s="1"/>
  <c r="C46" i="1"/>
  <c r="I46" i="1" s="1"/>
  <c r="J46" i="1" s="1"/>
  <c r="C122" i="1"/>
  <c r="I122" i="1" s="1"/>
  <c r="J122" i="1" s="1"/>
  <c r="C84" i="1"/>
  <c r="I84" i="1" s="1"/>
  <c r="J84" i="1" s="1"/>
  <c r="C54" i="1"/>
  <c r="I54" i="1" s="1"/>
  <c r="J54" i="1" s="1"/>
  <c r="C74" i="1"/>
  <c r="I74" i="1" s="1"/>
  <c r="J74" i="1" s="1"/>
  <c r="C92" i="1"/>
  <c r="I92" i="1" s="1"/>
  <c r="J92" i="1" s="1"/>
  <c r="C211" i="1"/>
  <c r="I211" i="1" s="1"/>
  <c r="J211" i="1" s="1"/>
  <c r="C184" i="1"/>
  <c r="I184" i="1" s="1"/>
  <c r="J184" i="1" s="1"/>
  <c r="C64" i="1"/>
  <c r="I64" i="1" s="1"/>
  <c r="J64" i="1" s="1"/>
  <c r="C109" i="1"/>
  <c r="I109" i="1" s="1"/>
  <c r="J109" i="1" s="1"/>
  <c r="C154" i="1"/>
  <c r="I154" i="1" s="1"/>
  <c r="J154" i="1" s="1"/>
  <c r="C85" i="1"/>
  <c r="I85" i="1" s="1"/>
  <c r="J85" i="1" s="1"/>
  <c r="C42" i="1"/>
  <c r="I42" i="1" s="1"/>
  <c r="J42" i="1" s="1"/>
  <c r="C202" i="1"/>
  <c r="I202" i="1" s="1"/>
  <c r="J202" i="1" s="1"/>
  <c r="C73" i="1"/>
  <c r="I73" i="1" s="1"/>
  <c r="J73" i="1" s="1"/>
  <c r="C86" i="1"/>
  <c r="I86" i="1" s="1"/>
  <c r="J86" i="1" s="1"/>
  <c r="C216" i="1"/>
  <c r="I216" i="1" s="1"/>
  <c r="J216" i="1" s="1"/>
  <c r="C183" i="1"/>
  <c r="I183" i="1" s="1"/>
  <c r="J183" i="1" s="1"/>
  <c r="C160" i="1"/>
  <c r="I160" i="1" s="1"/>
  <c r="J160" i="1" s="1"/>
  <c r="C200" i="1"/>
  <c r="I200" i="1" s="1"/>
  <c r="J200" i="1" s="1"/>
  <c r="C65" i="1"/>
  <c r="I65" i="1" s="1"/>
  <c r="J65" i="1" s="1"/>
  <c r="C108" i="1"/>
  <c r="I108" i="1" s="1"/>
  <c r="J108" i="1" s="1"/>
  <c r="C59" i="1"/>
  <c r="I59" i="1" s="1"/>
  <c r="J59" i="1" s="1"/>
  <c r="C87" i="1"/>
  <c r="I87" i="1" s="1"/>
  <c r="J87" i="1" s="1"/>
  <c r="C157" i="1"/>
  <c r="I157" i="1" s="1"/>
  <c r="J157" i="1" s="1"/>
  <c r="C127" i="1"/>
  <c r="I127" i="1" s="1"/>
  <c r="J127" i="1" s="1"/>
  <c r="C182" i="1"/>
  <c r="I182" i="1" s="1"/>
  <c r="J182" i="1" s="1"/>
  <c r="C88" i="1"/>
  <c r="I88" i="1" s="1"/>
  <c r="J88" i="1" s="1"/>
  <c r="C63" i="1"/>
  <c r="I63" i="1" s="1"/>
  <c r="J63" i="1" s="1"/>
  <c r="C196" i="1"/>
  <c r="I196" i="1" s="1"/>
  <c r="J196" i="1" s="1"/>
  <c r="C150" i="1"/>
  <c r="I150" i="1" s="1"/>
  <c r="J150" i="1" s="1"/>
  <c r="C124" i="1"/>
  <c r="I124" i="1" s="1"/>
  <c r="J124" i="1" s="1"/>
  <c r="C143" i="1"/>
  <c r="I143" i="1" s="1"/>
  <c r="J143" i="1" s="1"/>
  <c r="C67" i="1"/>
  <c r="I67" i="1" s="1"/>
  <c r="J67" i="1" s="1"/>
  <c r="C107" i="1"/>
  <c r="I107" i="1" s="1"/>
  <c r="J107" i="1" s="1"/>
  <c r="C36" i="1"/>
  <c r="I36" i="1" s="1"/>
  <c r="J36" i="1" s="1"/>
  <c r="C181" i="1"/>
  <c r="I181" i="1" s="1"/>
  <c r="J181" i="1" s="1"/>
  <c r="C89" i="1"/>
  <c r="I89" i="1" s="1"/>
  <c r="J89" i="1" s="1"/>
  <c r="C101" i="1"/>
  <c r="I101" i="1" s="1"/>
  <c r="J101" i="1" s="1"/>
  <c r="C130" i="1"/>
  <c r="I130" i="1" s="1"/>
  <c r="J130" i="1" s="1"/>
  <c r="C93" i="1"/>
  <c r="I93" i="1" s="1"/>
  <c r="J93" i="1" s="1"/>
  <c r="C210" i="1"/>
  <c r="I210" i="1" s="1"/>
  <c r="J210" i="1" s="1"/>
  <c r="C90" i="1"/>
  <c r="I90" i="1" s="1"/>
  <c r="J90" i="1" s="1"/>
  <c r="C161" i="1"/>
  <c r="I161" i="1" s="1"/>
  <c r="J161" i="1" s="1"/>
  <c r="C115" i="1"/>
  <c r="I115" i="1" s="1"/>
  <c r="J115" i="1" s="1"/>
  <c r="C218" i="1"/>
  <c r="I218" i="1" s="1"/>
  <c r="J218" i="1" s="1"/>
  <c r="C215" i="1"/>
  <c r="I215" i="1" s="1"/>
  <c r="J215" i="1" s="1"/>
  <c r="C142" i="1"/>
  <c r="I142" i="1" s="1"/>
  <c r="J142" i="1" s="1"/>
  <c r="C180" i="1"/>
  <c r="I180" i="1" s="1"/>
  <c r="J180" i="1" s="1"/>
  <c r="C106" i="1"/>
  <c r="I106" i="1" s="1"/>
  <c r="J106" i="1" s="1"/>
  <c r="C55" i="1"/>
  <c r="I55" i="1" s="1"/>
  <c r="J55" i="1" s="1"/>
  <c r="C94" i="1"/>
  <c r="I94" i="1" s="1"/>
  <c r="J94" i="1" s="1"/>
  <c r="C60" i="1"/>
  <c r="I60" i="1" s="1"/>
  <c r="J60" i="1" s="1"/>
  <c r="C197" i="1"/>
  <c r="I197" i="1" s="1"/>
  <c r="J197" i="1" s="1"/>
  <c r="C29" i="1"/>
  <c r="I29" i="1" s="1"/>
  <c r="J29" i="1" s="1"/>
  <c r="C165" i="1"/>
  <c r="I165" i="1" s="1"/>
  <c r="J165" i="1" s="1"/>
  <c r="C39" i="1"/>
  <c r="I39" i="1" s="1"/>
  <c r="J39" i="1" s="1"/>
  <c r="C66" i="1"/>
  <c r="I66" i="1" s="1"/>
  <c r="J66" i="1" s="1"/>
  <c r="C129" i="1"/>
  <c r="I129" i="1" s="1"/>
  <c r="J129" i="1" s="1"/>
  <c r="C224" i="1"/>
  <c r="I224" i="1" s="1"/>
  <c r="J224" i="1" s="1"/>
  <c r="C153" i="1"/>
  <c r="I153" i="1" s="1"/>
  <c r="J153" i="1" s="1"/>
  <c r="C179" i="1"/>
  <c r="I179" i="1" s="1"/>
  <c r="J179" i="1" s="1"/>
  <c r="C117" i="1"/>
  <c r="I117" i="1" s="1"/>
  <c r="J117" i="1" s="1"/>
  <c r="C121" i="1"/>
  <c r="I121" i="1" s="1"/>
  <c r="J121" i="1" s="1"/>
  <c r="C105" i="1"/>
  <c r="I105" i="1" s="1"/>
  <c r="J105" i="1" s="1"/>
  <c r="C100" i="1"/>
  <c r="I100" i="1" s="1"/>
  <c r="J100" i="1" s="1"/>
  <c r="C141" i="1"/>
  <c r="I141" i="1" s="1"/>
  <c r="J141" i="1" s="1"/>
  <c r="C35" i="1"/>
  <c r="I35" i="1" s="1"/>
  <c r="J35" i="1" s="1"/>
  <c r="C98" i="1"/>
  <c r="I98" i="1" s="1"/>
  <c r="J98" i="1" s="1"/>
  <c r="C126" i="1"/>
  <c r="I126" i="1" s="1"/>
  <c r="J126" i="1" s="1"/>
  <c r="C56" i="1"/>
  <c r="I56" i="1" s="1"/>
  <c r="J56" i="1" s="1"/>
  <c r="C97" i="1"/>
  <c r="I97" i="1" s="1"/>
  <c r="J97" i="1" s="1"/>
  <c r="C125" i="1"/>
  <c r="I125" i="1" s="1"/>
  <c r="J125" i="1" s="1"/>
  <c r="C132" i="1"/>
  <c r="I132" i="1" s="1"/>
  <c r="J132" i="1" s="1"/>
  <c r="I4" i="1"/>
  <c r="J4" i="1" s="1"/>
  <c r="C178" i="1"/>
  <c r="I178" i="1" s="1"/>
  <c r="J178" i="1" s="1"/>
  <c r="C214" i="1"/>
  <c r="I214" i="1" s="1"/>
  <c r="J214" i="1" s="1"/>
  <c r="C5" i="1"/>
  <c r="I5" i="1" s="1"/>
  <c r="J5" i="1" s="1"/>
  <c r="C37" i="1"/>
  <c r="I37" i="1" s="1"/>
  <c r="J37" i="1" s="1"/>
  <c r="C72" i="1"/>
  <c r="I72" i="1" s="1"/>
  <c r="J72" i="1" s="1"/>
  <c r="C209" i="1"/>
  <c r="I209" i="1" s="1"/>
  <c r="J209" i="1" s="1"/>
  <c r="C104" i="1"/>
  <c r="I104" i="1" s="1"/>
  <c r="J104" i="1" s="1"/>
  <c r="C28" i="1"/>
  <c r="I28" i="1" s="1"/>
  <c r="J28" i="1" s="1"/>
  <c r="C49" i="1"/>
  <c r="I49" i="1" s="1"/>
  <c r="J49" i="1" s="1"/>
  <c r="C6" i="1"/>
  <c r="I6" i="1" s="1"/>
  <c r="J6" i="1" s="1"/>
  <c r="C118" i="1"/>
  <c r="I118" i="1" s="1"/>
  <c r="J118" i="1" s="1"/>
  <c r="C140" i="1"/>
  <c r="I140" i="1" s="1"/>
  <c r="J140" i="1" s="1"/>
  <c r="C177" i="1"/>
  <c r="I177" i="1" s="1"/>
  <c r="J177" i="1" s="1"/>
  <c r="C163" i="1"/>
  <c r="I163" i="1" s="1"/>
  <c r="J163" i="1" s="1"/>
  <c r="C195" i="1"/>
  <c r="I195" i="1" s="1"/>
  <c r="J195" i="1" s="1"/>
  <c r="C7" i="1"/>
  <c r="I7" i="1" s="1"/>
  <c r="J7" i="1" s="1"/>
  <c r="C123" i="1"/>
  <c r="I123" i="1" s="1"/>
  <c r="J123" i="1" s="1"/>
  <c r="C51" i="1"/>
  <c r="I51" i="1" s="1"/>
  <c r="J51" i="1" s="1"/>
  <c r="C155" i="1"/>
  <c r="I155" i="1" s="1"/>
  <c r="J155" i="1" s="1"/>
  <c r="C206" i="1"/>
  <c r="I206" i="1" s="1"/>
  <c r="J206" i="1" s="1"/>
  <c r="C95" i="1"/>
  <c r="I95" i="1" s="1"/>
  <c r="J95" i="1" s="1"/>
  <c r="C103" i="1"/>
  <c r="I103" i="1" s="1"/>
  <c r="J103" i="1" s="1"/>
  <c r="C149" i="1"/>
  <c r="I149" i="1" s="1"/>
  <c r="J149" i="1" s="1"/>
  <c r="C222" i="1"/>
  <c r="I222" i="1" s="1"/>
  <c r="J222" i="1" s="1"/>
  <c r="C194" i="1"/>
  <c r="I194" i="1" s="1"/>
  <c r="J194" i="1" s="1"/>
  <c r="C166" i="1"/>
  <c r="I166" i="1" s="1"/>
  <c r="J166" i="1" s="1"/>
  <c r="C52" i="1"/>
  <c r="I52" i="1" s="1"/>
  <c r="J52" i="1" s="1"/>
  <c r="C8" i="1"/>
  <c r="I8" i="1" s="1"/>
  <c r="J8" i="1" s="1"/>
  <c r="C205" i="1"/>
  <c r="I205" i="1" s="1"/>
  <c r="J205" i="1" s="1"/>
  <c r="C53" i="1"/>
  <c r="I53" i="1" s="1"/>
  <c r="J53" i="1" s="1"/>
  <c r="C152" i="1"/>
  <c r="I152" i="1" s="1"/>
  <c r="J152" i="1" s="1"/>
  <c r="C176" i="1"/>
  <c r="I176" i="1" s="1"/>
  <c r="J176" i="1" s="1"/>
  <c r="C193" i="1"/>
  <c r="I193" i="1" s="1"/>
  <c r="J193" i="1" s="1"/>
  <c r="C91" i="1"/>
  <c r="I91" i="1" s="1"/>
  <c r="J91" i="1" s="1"/>
  <c r="C162" i="1"/>
  <c r="I162" i="1" s="1"/>
  <c r="J162" i="1" s="1"/>
  <c r="C198" i="1"/>
  <c r="I198" i="1" s="1"/>
  <c r="J198" i="1" s="1"/>
  <c r="C102" i="1"/>
  <c r="I102" i="1" s="1"/>
  <c r="J102" i="1" s="1"/>
  <c r="C9" i="1"/>
  <c r="I9" i="1" s="1"/>
  <c r="J9" i="1" s="1"/>
  <c r="C213" i="1"/>
  <c r="I213" i="1" s="1"/>
  <c r="J213" i="1" s="1"/>
  <c r="C221" i="1"/>
  <c r="I221" i="1" s="1"/>
  <c r="J221" i="1" s="1"/>
  <c r="C204" i="1"/>
  <c r="I204" i="1" s="1"/>
  <c r="J204" i="1" s="1"/>
  <c r="C201" i="1"/>
  <c r="I201" i="1" s="1"/>
  <c r="J201" i="1" s="1"/>
  <c r="C61" i="1"/>
  <c r="I61" i="1" s="1"/>
  <c r="J61" i="1" s="1"/>
  <c r="C139" i="1"/>
  <c r="I139" i="1" s="1"/>
  <c r="J139" i="1" s="1"/>
  <c r="C10" i="1"/>
  <c r="I10" i="1" s="1"/>
  <c r="J10" i="1" s="1"/>
  <c r="C226" i="1"/>
  <c r="I226" i="1" s="1"/>
  <c r="J226" i="1" s="1"/>
  <c r="C175" i="1"/>
  <c r="I175" i="1" s="1"/>
  <c r="J175" i="1" s="1"/>
  <c r="C71" i="1"/>
  <c r="I71" i="1" s="1"/>
  <c r="J71" i="1" s="1"/>
  <c r="C192" i="1"/>
  <c r="I192" i="1" s="1"/>
  <c r="J192" i="1" s="1"/>
  <c r="C57" i="1"/>
  <c r="I57" i="1" s="1"/>
  <c r="J57" i="1" s="1"/>
  <c r="C27" i="1"/>
  <c r="I27" i="1" s="1"/>
  <c r="J27" i="1" s="1"/>
  <c r="C11" i="1"/>
  <c r="I11" i="1" s="1"/>
  <c r="J11" i="1" s="1"/>
  <c r="C26" i="1"/>
  <c r="I26" i="1" s="1"/>
  <c r="J26" i="1" s="1"/>
  <c r="C96" i="1"/>
  <c r="I96" i="1" s="1"/>
  <c r="J96" i="1" s="1"/>
  <c r="C133" i="1"/>
  <c r="I133" i="1" s="1"/>
  <c r="J133" i="1" s="1"/>
  <c r="C138" i="1"/>
  <c r="I138" i="1" s="1"/>
  <c r="J138" i="1" s="1"/>
  <c r="C167" i="1"/>
  <c r="I167" i="1" s="1"/>
  <c r="J167" i="1" s="1"/>
  <c r="C41" i="1"/>
  <c r="I41" i="1" s="1"/>
  <c r="J41" i="1" s="1"/>
  <c r="C208" i="1"/>
  <c r="I208" i="1" s="1"/>
  <c r="J208" i="1" s="1"/>
  <c r="C33" i="1"/>
  <c r="I33" i="1" s="1"/>
  <c r="J33" i="1" s="1"/>
  <c r="C191" i="1"/>
  <c r="I191" i="1" s="1"/>
  <c r="J191" i="1" s="1"/>
  <c r="C145" i="1"/>
  <c r="I145" i="1" s="1"/>
  <c r="J145" i="1" s="1"/>
  <c r="C58" i="1"/>
  <c r="I58" i="1" s="1"/>
  <c r="J58" i="1" s="1"/>
  <c r="C174" i="1"/>
  <c r="I174" i="1" s="1"/>
  <c r="J174" i="1" s="1"/>
  <c r="C25" i="1"/>
  <c r="I25" i="1" s="1"/>
  <c r="J25" i="1" s="1"/>
  <c r="C34" i="1"/>
  <c r="I34" i="1" s="1"/>
  <c r="J34" i="1" s="1"/>
  <c r="C116" i="1"/>
  <c r="I116" i="1" s="1"/>
  <c r="J116" i="1" s="1"/>
  <c r="C159" i="1"/>
  <c r="I159" i="1" s="1"/>
  <c r="J159" i="1" s="1"/>
  <c r="C12" i="1"/>
  <c r="I12" i="1" s="1"/>
  <c r="J12" i="1" s="1"/>
  <c r="C13" i="1"/>
  <c r="I13" i="1" s="1"/>
  <c r="J13" i="1" s="1"/>
  <c r="C47" i="1"/>
  <c r="I47" i="1" s="1"/>
  <c r="J47" i="1" s="1"/>
  <c r="C32" i="1"/>
  <c r="I32" i="1" s="1"/>
  <c r="J32" i="1" s="1"/>
  <c r="C190" i="1"/>
  <c r="I190" i="1" s="1"/>
  <c r="J190" i="1" s="1"/>
  <c r="C62" i="1"/>
  <c r="I62" i="1" s="1"/>
  <c r="J62" i="1" s="1"/>
  <c r="C24" i="1"/>
  <c r="I24" i="1" s="1"/>
  <c r="J24" i="1" s="1"/>
  <c r="C168" i="1"/>
  <c r="I168" i="1" s="1"/>
  <c r="J168" i="1" s="1"/>
  <c r="C76" i="1"/>
  <c r="I76" i="1" s="1"/>
  <c r="J76" i="1" s="1"/>
  <c r="C14" i="1"/>
  <c r="I14" i="1" s="1"/>
  <c r="J14" i="1" s="1"/>
  <c r="C173" i="1"/>
  <c r="I173" i="1" s="1"/>
  <c r="J173" i="1" s="1"/>
  <c r="C134" i="1"/>
  <c r="I134" i="1" s="1"/>
  <c r="J134" i="1" s="1"/>
  <c r="C199" i="1"/>
  <c r="I199" i="1" s="1"/>
  <c r="J199" i="1" s="1"/>
  <c r="C31" i="1"/>
  <c r="I31" i="1" s="1"/>
  <c r="J31" i="1" s="1"/>
  <c r="C137" i="1"/>
  <c r="I137" i="1" s="1"/>
  <c r="J137" i="1" s="1"/>
  <c r="C119" i="1"/>
  <c r="I119" i="1" s="1"/>
  <c r="J119" i="1" s="1"/>
  <c r="C45" i="1"/>
  <c r="I45" i="1" s="1"/>
  <c r="J45" i="1" s="1"/>
  <c r="C189" i="1"/>
  <c r="I189" i="1" s="1"/>
  <c r="J189" i="1" s="1"/>
  <c r="C23" i="1"/>
  <c r="I23" i="1" s="1"/>
  <c r="J23" i="1" s="1"/>
  <c r="C15" i="1"/>
  <c r="I15" i="1" s="1"/>
  <c r="J15" i="1" s="1"/>
  <c r="C22" i="1"/>
  <c r="I22" i="1" s="1"/>
  <c r="J22" i="1" s="1"/>
  <c r="C169" i="1"/>
  <c r="I169" i="1" s="1"/>
  <c r="J169" i="1" s="1"/>
  <c r="C16" i="1"/>
  <c r="I16" i="1" s="1"/>
  <c r="J16" i="1" s="1"/>
  <c r="C113" i="1"/>
  <c r="I113" i="1" s="1"/>
  <c r="J113" i="1" s="1"/>
  <c r="C217" i="1"/>
  <c r="I217" i="1" s="1"/>
  <c r="J217" i="1" s="1"/>
  <c r="C172" i="1"/>
  <c r="I172" i="1" s="1"/>
  <c r="J172" i="1" s="1"/>
  <c r="C77" i="1"/>
  <c r="I77" i="1" s="1"/>
  <c r="J77" i="1" s="1"/>
  <c r="C188" i="1"/>
  <c r="I188" i="1" s="1"/>
  <c r="J188" i="1" s="1"/>
  <c r="AA214" i="1" l="1"/>
  <c r="Y153" i="1"/>
  <c r="Y190" i="1"/>
  <c r="AA184" i="1"/>
  <c r="AA190" i="1"/>
  <c r="Y214" i="1"/>
  <c r="AA157" i="1"/>
  <c r="AA107" i="1"/>
  <c r="AA153" i="1"/>
  <c r="AA191" i="1"/>
  <c r="AA93" i="1"/>
  <c r="AA112" i="1"/>
  <c r="N185" i="1"/>
  <c r="L181" i="1"/>
  <c r="N24" i="1"/>
  <c r="N111" i="1"/>
  <c r="K5" i="1"/>
  <c r="K4" i="1"/>
  <c r="L205" i="1"/>
  <c r="N32" i="1"/>
  <c r="N33" i="1"/>
  <c r="N23" i="1"/>
  <c r="L23" i="1"/>
  <c r="K6" i="1"/>
  <c r="U243" i="1"/>
  <c r="W243" i="1" s="1"/>
  <c r="U242" i="1"/>
  <c r="W242" i="1" s="1"/>
  <c r="Y215" i="1"/>
  <c r="U235" i="1"/>
  <c r="W235" i="1" s="1"/>
  <c r="U241" i="1"/>
  <c r="W241" i="1" s="1"/>
  <c r="Y66" i="1"/>
  <c r="U234" i="1"/>
  <c r="W234" i="1" s="1"/>
  <c r="U240" i="1"/>
  <c r="W240" i="1" s="1"/>
  <c r="U239" i="1"/>
  <c r="W239" i="1" s="1"/>
  <c r="U233" i="1"/>
  <c r="W233" i="1" s="1"/>
  <c r="Y107" i="1"/>
  <c r="Y106" i="1"/>
  <c r="U238" i="1"/>
  <c r="W238" i="1" s="1"/>
  <c r="Y105" i="1"/>
  <c r="AA105" i="1"/>
  <c r="Y104" i="1"/>
  <c r="U232" i="1"/>
  <c r="W232" i="1" s="1"/>
  <c r="Y191" i="1"/>
  <c r="U231" i="1"/>
  <c r="W231" i="1" s="1"/>
  <c r="U230" i="1"/>
  <c r="W230" i="1" s="1"/>
  <c r="U237" i="1"/>
  <c r="W237" i="1" s="1"/>
  <c r="X28" i="1"/>
  <c r="U229" i="1"/>
  <c r="W229" i="1" s="1"/>
  <c r="U228" i="1"/>
  <c r="W228" i="1" s="1"/>
  <c r="U227" i="1"/>
  <c r="W227" i="1" s="1"/>
  <c r="U236" i="1"/>
  <c r="W236" i="1" s="1"/>
  <c r="H237" i="1"/>
  <c r="J237" i="1" s="1"/>
  <c r="H236" i="1"/>
  <c r="J236" i="1" s="1"/>
  <c r="H232" i="1"/>
  <c r="J232" i="1" s="1"/>
  <c r="L33" i="1"/>
  <c r="H242" i="1"/>
  <c r="J242" i="1" s="1"/>
  <c r="H235" i="1"/>
  <c r="J235" i="1" s="1"/>
  <c r="H228" i="1"/>
  <c r="J228" i="1" s="1"/>
  <c r="H241" i="1"/>
  <c r="J241" i="1" s="1"/>
  <c r="H233" i="1"/>
  <c r="J233" i="1" s="1"/>
  <c r="H240" i="1"/>
  <c r="J240" i="1" s="1"/>
  <c r="H227" i="1"/>
  <c r="J227" i="1" s="1"/>
  <c r="H239" i="1"/>
  <c r="J239" i="1" s="1"/>
  <c r="H229" i="1"/>
  <c r="J229" i="1" s="1"/>
  <c r="H238" i="1"/>
  <c r="J238" i="1" s="1"/>
  <c r="H230" i="1"/>
  <c r="J230" i="1" s="1"/>
  <c r="H234" i="1"/>
  <c r="J234" i="1" s="1"/>
  <c r="H243" i="1"/>
  <c r="J243" i="1" s="1"/>
  <c r="H231" i="1"/>
  <c r="J231" i="1" s="1"/>
  <c r="L24" i="1"/>
  <c r="L190" i="1"/>
  <c r="Y193" i="1" l="1"/>
  <c r="Y192" i="1"/>
  <c r="N180" i="1"/>
  <c r="Y232" i="1"/>
  <c r="N205" i="1"/>
  <c r="L194" i="1"/>
  <c r="N193" i="1"/>
  <c r="L186" i="1"/>
  <c r="N110" i="1"/>
  <c r="AA210" i="1"/>
  <c r="Y210" i="1"/>
  <c r="L111" i="1"/>
  <c r="AA242" i="1"/>
  <c r="N194" i="1"/>
  <c r="L182" i="1"/>
  <c r="N189" i="1"/>
  <c r="L177" i="1"/>
  <c r="L72" i="1"/>
  <c r="N107" i="1"/>
  <c r="Y189" i="1"/>
  <c r="N236" i="1"/>
  <c r="Y109" i="1"/>
  <c r="Y194" i="1"/>
  <c r="L242" i="1"/>
  <c r="N241" i="1"/>
  <c r="L110" i="1"/>
  <c r="Y186" i="1"/>
  <c r="AA70" i="1"/>
  <c r="Y143" i="1"/>
  <c r="Y61" i="1"/>
  <c r="AA111" i="1"/>
  <c r="AA61" i="1"/>
  <c r="AA176" i="1"/>
  <c r="Y73" i="1"/>
  <c r="Y64" i="1"/>
  <c r="Y176" i="1"/>
  <c r="AA110" i="1"/>
  <c r="AA113" i="1"/>
  <c r="N98" i="1"/>
  <c r="Y112" i="1"/>
  <c r="Y111" i="1"/>
  <c r="Y113" i="1"/>
  <c r="L195" i="1"/>
  <c r="Y32" i="1"/>
  <c r="Y114" i="1"/>
  <c r="Y110" i="1"/>
  <c r="Y185" i="1"/>
  <c r="Y121" i="1"/>
  <c r="AA193" i="1"/>
  <c r="Y33" i="1"/>
  <c r="AA73" i="1"/>
  <c r="Y65" i="1"/>
  <c r="Y149" i="1"/>
  <c r="AA103" i="1"/>
  <c r="Y196" i="1"/>
  <c r="AA196" i="1"/>
  <c r="AA207" i="1"/>
  <c r="Y195" i="1"/>
  <c r="AA65" i="1"/>
  <c r="Y53" i="1"/>
  <c r="AA53" i="1"/>
  <c r="AA64" i="1"/>
  <c r="L185" i="1"/>
  <c r="L184" i="1"/>
  <c r="N195" i="1"/>
  <c r="L183" i="1"/>
  <c r="L127" i="1"/>
  <c r="L74" i="1"/>
  <c r="L120" i="1"/>
  <c r="N17" i="1"/>
  <c r="L68" i="1"/>
  <c r="L43" i="1"/>
  <c r="L147" i="1"/>
  <c r="L176" i="1"/>
  <c r="N175" i="1"/>
  <c r="L175" i="1"/>
  <c r="N117" i="1"/>
  <c r="N182" i="1"/>
  <c r="L109" i="1"/>
  <c r="N120" i="1"/>
  <c r="AA143" i="1"/>
  <c r="Y223" i="1"/>
  <c r="Y119" i="1"/>
  <c r="Y91" i="1"/>
  <c r="N170" i="1"/>
  <c r="AA121" i="1"/>
  <c r="L218" i="1"/>
  <c r="Y120" i="1"/>
  <c r="AA120" i="1"/>
  <c r="AA138" i="1"/>
  <c r="AA119" i="1"/>
  <c r="Y70" i="1"/>
  <c r="AA202" i="1"/>
  <c r="Y31" i="1"/>
  <c r="L73" i="1"/>
  <c r="AA109" i="1"/>
  <c r="Y69" i="1"/>
  <c r="AA185" i="1"/>
  <c r="AA135" i="1"/>
  <c r="AA224" i="1"/>
  <c r="AA186" i="1"/>
  <c r="AA108" i="1"/>
  <c r="AA128" i="1"/>
  <c r="Y156" i="1"/>
  <c r="Y218" i="1"/>
  <c r="Y148" i="1"/>
  <c r="Y126" i="1"/>
  <c r="Y202" i="1"/>
  <c r="Y160" i="1"/>
  <c r="AA91" i="1"/>
  <c r="Y44" i="1"/>
  <c r="Y52" i="1"/>
  <c r="L160" i="1"/>
  <c r="L214" i="1"/>
  <c r="L146" i="1"/>
  <c r="N63" i="1"/>
  <c r="N97" i="1"/>
  <c r="L156" i="1"/>
  <c r="N99" i="1"/>
  <c r="L38" i="1"/>
  <c r="N210" i="1"/>
  <c r="N25" i="1"/>
  <c r="N64" i="1"/>
  <c r="N106" i="1"/>
  <c r="N27" i="1"/>
  <c r="L107" i="1"/>
  <c r="Y162" i="1"/>
  <c r="Y161" i="1"/>
  <c r="AA161" i="1"/>
  <c r="Y224" i="1"/>
  <c r="AA126" i="1"/>
  <c r="AA160" i="1"/>
  <c r="Y220" i="1"/>
  <c r="Y219" i="1"/>
  <c r="AA219" i="1"/>
  <c r="AA44" i="1"/>
  <c r="Y157" i="1"/>
  <c r="N109" i="1"/>
  <c r="L108" i="1"/>
  <c r="L211" i="1"/>
  <c r="L219" i="1"/>
  <c r="N142" i="1"/>
  <c r="L99" i="1"/>
  <c r="L179" i="1"/>
  <c r="L180" i="1"/>
  <c r="L215" i="1"/>
  <c r="N38" i="1"/>
  <c r="L142" i="1"/>
  <c r="L141" i="1"/>
  <c r="L178" i="1"/>
  <c r="N190" i="1"/>
  <c r="N150" i="1"/>
  <c r="N223" i="1"/>
  <c r="L223" i="1"/>
  <c r="L206" i="1"/>
  <c r="N206" i="1"/>
  <c r="N218" i="1"/>
  <c r="N153" i="1"/>
  <c r="N214" i="1"/>
  <c r="N222" i="1"/>
  <c r="N202" i="1"/>
  <c r="L28" i="1"/>
  <c r="L98" i="1"/>
  <c r="L210" i="1"/>
  <c r="L193" i="1"/>
  <c r="L192" i="1"/>
  <c r="N192" i="1"/>
  <c r="L27" i="1"/>
  <c r="L26" i="1"/>
  <c r="L191" i="1"/>
  <c r="N191" i="1"/>
  <c r="L25" i="1"/>
  <c r="N147" i="1"/>
  <c r="Y135" i="1"/>
  <c r="L150" i="1"/>
  <c r="L222" i="1"/>
  <c r="L42" i="1"/>
  <c r="L138" i="1"/>
  <c r="L209" i="1"/>
  <c r="L114" i="1"/>
  <c r="N92" i="1"/>
  <c r="L46" i="1"/>
  <c r="N68" i="1"/>
  <c r="N26" i="1"/>
  <c r="L78" i="1"/>
  <c r="N178" i="1"/>
  <c r="L59" i="1"/>
  <c r="L54" i="1"/>
  <c r="L117" i="1"/>
  <c r="N73" i="1"/>
  <c r="N179" i="1"/>
  <c r="Y108" i="1"/>
  <c r="L143" i="1"/>
  <c r="N126" i="1"/>
  <c r="L105" i="1"/>
  <c r="L106" i="1"/>
  <c r="N29" i="1"/>
  <c r="L29" i="1"/>
  <c r="N176" i="1"/>
  <c r="L164" i="1"/>
  <c r="N196" i="1"/>
  <c r="L196" i="1"/>
  <c r="L104" i="1"/>
  <c r="N104" i="1"/>
  <c r="N54" i="1"/>
  <c r="L140" i="1"/>
  <c r="N139" i="1"/>
  <c r="L139" i="1"/>
  <c r="N35" i="1"/>
  <c r="L64" i="1"/>
  <c r="N186" i="1"/>
  <c r="L174" i="1"/>
  <c r="N138" i="1"/>
  <c r="AA41" i="1"/>
  <c r="Y30" i="1"/>
  <c r="Y29" i="1"/>
  <c r="L5" i="1"/>
  <c r="AA142" i="1"/>
  <c r="Y142" i="1"/>
  <c r="AA198" i="1"/>
  <c r="Y198" i="1"/>
  <c r="AA178" i="1"/>
  <c r="Y178" i="1"/>
  <c r="AA177" i="1"/>
  <c r="Y177" i="1"/>
  <c r="AA60" i="1"/>
  <c r="Y60" i="1"/>
  <c r="AA213" i="1"/>
  <c r="Y213" i="1"/>
  <c r="AA203" i="1"/>
  <c r="Y203" i="1"/>
  <c r="AA99" i="1"/>
  <c r="Y99" i="1"/>
  <c r="AA171" i="1"/>
  <c r="Y171" i="1"/>
  <c r="AA172" i="1"/>
  <c r="Y172" i="1"/>
  <c r="AA188" i="1"/>
  <c r="Y188" i="1"/>
  <c r="AA151" i="1"/>
  <c r="Y151" i="1"/>
  <c r="AA183" i="1"/>
  <c r="Y183" i="1"/>
  <c r="AA150" i="1"/>
  <c r="Y150" i="1"/>
  <c r="AA49" i="1"/>
  <c r="Y49" i="1"/>
  <c r="AA59" i="1"/>
  <c r="Y59" i="1"/>
  <c r="AA164" i="1"/>
  <c r="Y164" i="1"/>
  <c r="AA187" i="1"/>
  <c r="Y187" i="1"/>
  <c r="AA72" i="1"/>
  <c r="Y72" i="1"/>
  <c r="AA139" i="1"/>
  <c r="Y139" i="1"/>
  <c r="AA136" i="1"/>
  <c r="Y136" i="1"/>
  <c r="AA63" i="1"/>
  <c r="Y63" i="1"/>
  <c r="AA122" i="1"/>
  <c r="Y122" i="1"/>
  <c r="AA209" i="1"/>
  <c r="Y209" i="1"/>
  <c r="AA144" i="1"/>
  <c r="Y144" i="1"/>
  <c r="Y35" i="1"/>
  <c r="AA208" i="1"/>
  <c r="Y208" i="1"/>
  <c r="AA180" i="1"/>
  <c r="Y180" i="1"/>
  <c r="AA152" i="1"/>
  <c r="Y152" i="1"/>
  <c r="AA197" i="1"/>
  <c r="Y197" i="1"/>
  <c r="AA97" i="1"/>
  <c r="Y97" i="1"/>
  <c r="AA67" i="1"/>
  <c r="Y67" i="1"/>
  <c r="AA115" i="1"/>
  <c r="Y115" i="1"/>
  <c r="AA92" i="1"/>
  <c r="Y92" i="1"/>
  <c r="Y37" i="1"/>
  <c r="AA145" i="1"/>
  <c r="Y145" i="1"/>
  <c r="AA62" i="1"/>
  <c r="Y62" i="1"/>
  <c r="AA68" i="1"/>
  <c r="Y68" i="1"/>
  <c r="AA182" i="1"/>
  <c r="Y182" i="1"/>
  <c r="AA173" i="1"/>
  <c r="Y173" i="1"/>
  <c r="AA123" i="1"/>
  <c r="Y123" i="1"/>
  <c r="AA75" i="1"/>
  <c r="Y75" i="1"/>
  <c r="Y95" i="1"/>
  <c r="AA95" i="1"/>
  <c r="AA221" i="1"/>
  <c r="Y221" i="1"/>
  <c r="AA94" i="1"/>
  <c r="Y94" i="1"/>
  <c r="AA211" i="1"/>
  <c r="Y211" i="1"/>
  <c r="AA206" i="1"/>
  <c r="Y206" i="1"/>
  <c r="AA127" i="1"/>
  <c r="Y127" i="1"/>
  <c r="AA163" i="1"/>
  <c r="Y163" i="1"/>
  <c r="AA137" i="1"/>
  <c r="Y137" i="1"/>
  <c r="AA140" i="1"/>
  <c r="Y140" i="1"/>
  <c r="AA130" i="1"/>
  <c r="Y130" i="1"/>
  <c r="AA199" i="1"/>
  <c r="Y199" i="1"/>
  <c r="AA146" i="1"/>
  <c r="Y146" i="1"/>
  <c r="AA129" i="1"/>
  <c r="Y129" i="1"/>
  <c r="AA141" i="1"/>
  <c r="Y141" i="1"/>
  <c r="AA212" i="1"/>
  <c r="Y212" i="1"/>
  <c r="AA117" i="1"/>
  <c r="Y117" i="1"/>
  <c r="AA174" i="1"/>
  <c r="Y174" i="1"/>
  <c r="Y34" i="1"/>
  <c r="AA96" i="1"/>
  <c r="Y96" i="1"/>
  <c r="AA179" i="1"/>
  <c r="Y179" i="1"/>
  <c r="AA200" i="1"/>
  <c r="Y200" i="1"/>
  <c r="AA175" i="1"/>
  <c r="Y175" i="1"/>
  <c r="AA74" i="1"/>
  <c r="Y74" i="1"/>
  <c r="AA225" i="1"/>
  <c r="Y225" i="1"/>
  <c r="AA71" i="1"/>
  <c r="Y71" i="1"/>
  <c r="AA116" i="1"/>
  <c r="Y116" i="1"/>
  <c r="AA204" i="1"/>
  <c r="Y204" i="1"/>
  <c r="AA98" i="1"/>
  <c r="Y98" i="1"/>
  <c r="AA54" i="1"/>
  <c r="Y54" i="1"/>
  <c r="AA131" i="1"/>
  <c r="Y131" i="1"/>
  <c r="AA205" i="1"/>
  <c r="Y205" i="1"/>
  <c r="AA55" i="1"/>
  <c r="Y55" i="1"/>
  <c r="AA155" i="1"/>
  <c r="Y155" i="1"/>
  <c r="AA217" i="1"/>
  <c r="Y217" i="1"/>
  <c r="AA147" i="1"/>
  <c r="Y147" i="1"/>
  <c r="AA125" i="1"/>
  <c r="Y125" i="1"/>
  <c r="AA201" i="1"/>
  <c r="Y201" i="1"/>
  <c r="AA222" i="1"/>
  <c r="Y222" i="1"/>
  <c r="Y38" i="1"/>
  <c r="AA216" i="1"/>
  <c r="Y216" i="1"/>
  <c r="AA56" i="1"/>
  <c r="Y56" i="1"/>
  <c r="AA159" i="1"/>
  <c r="Y159" i="1"/>
  <c r="AA154" i="1"/>
  <c r="Y154" i="1"/>
  <c r="AA158" i="1"/>
  <c r="Y158" i="1"/>
  <c r="AA118" i="1"/>
  <c r="Y118" i="1"/>
  <c r="AA57" i="1"/>
  <c r="Y57" i="1"/>
  <c r="AA124" i="1"/>
  <c r="Y124" i="1"/>
  <c r="AA102" i="1"/>
  <c r="Y102" i="1"/>
  <c r="AA76" i="1"/>
  <c r="Y76" i="1"/>
  <c r="AA48" i="1"/>
  <c r="Y48" i="1"/>
  <c r="AA77" i="1"/>
  <c r="Y77" i="1"/>
  <c r="AA46" i="1"/>
  <c r="Y46" i="1"/>
  <c r="AA45" i="1"/>
  <c r="Y45" i="1"/>
  <c r="AA78" i="1"/>
  <c r="Y78" i="1"/>
  <c r="AA79" i="1"/>
  <c r="Y79" i="1"/>
  <c r="AA43" i="1"/>
  <c r="Y43" i="1"/>
  <c r="AA42" i="1"/>
  <c r="Y42" i="1"/>
  <c r="AA80" i="1"/>
  <c r="Y80" i="1"/>
  <c r="AA81" i="1"/>
  <c r="Y81" i="1"/>
  <c r="Y39" i="1"/>
  <c r="AA82" i="1"/>
  <c r="Y82" i="1"/>
  <c r="AA165" i="1"/>
  <c r="Y165" i="1"/>
  <c r="AA83" i="1"/>
  <c r="Y83" i="1"/>
  <c r="AA132" i="1"/>
  <c r="Y132" i="1"/>
  <c r="AA84" i="1"/>
  <c r="Y84" i="1"/>
  <c r="AA85" i="1"/>
  <c r="Y85" i="1"/>
  <c r="AA100" i="1"/>
  <c r="Y100" i="1"/>
  <c r="AA86" i="1"/>
  <c r="Y86" i="1"/>
  <c r="AA87" i="1"/>
  <c r="Y87" i="1"/>
  <c r="AA88" i="1"/>
  <c r="Y88" i="1"/>
  <c r="AA89" i="1"/>
  <c r="Y89" i="1"/>
  <c r="AA101" i="1"/>
  <c r="Y101" i="1"/>
  <c r="AA90" i="1"/>
  <c r="Y90" i="1"/>
  <c r="AA40" i="1"/>
  <c r="Y40" i="1"/>
  <c r="AA166" i="1"/>
  <c r="Y166" i="1"/>
  <c r="AA133" i="1"/>
  <c r="Y133" i="1"/>
  <c r="Y50" i="1"/>
  <c r="AA50" i="1"/>
  <c r="AA51" i="1"/>
  <c r="Y51" i="1"/>
  <c r="AA167" i="1"/>
  <c r="Y167" i="1"/>
  <c r="AA168" i="1"/>
  <c r="Y168" i="1"/>
  <c r="AA134" i="1"/>
  <c r="Y134" i="1"/>
  <c r="AA169" i="1"/>
  <c r="Y169" i="1"/>
  <c r="N149" i="1"/>
  <c r="L149" i="1"/>
  <c r="N221" i="1"/>
  <c r="L221" i="1"/>
  <c r="N41" i="1"/>
  <c r="L41" i="1"/>
  <c r="N79" i="1"/>
  <c r="L79" i="1"/>
  <c r="N18" i="1"/>
  <c r="L18" i="1"/>
  <c r="N137" i="1"/>
  <c r="L137" i="1"/>
  <c r="N204" i="1"/>
  <c r="L204" i="1"/>
  <c r="N172" i="1"/>
  <c r="L172" i="1"/>
  <c r="N220" i="1"/>
  <c r="L220" i="1"/>
  <c r="N224" i="1"/>
  <c r="L224" i="1"/>
  <c r="N208" i="1"/>
  <c r="L208" i="1"/>
  <c r="N132" i="1"/>
  <c r="L132" i="1"/>
  <c r="N129" i="1"/>
  <c r="L129" i="1"/>
  <c r="N19" i="1"/>
  <c r="L19" i="1"/>
  <c r="N113" i="1"/>
  <c r="L113" i="1"/>
  <c r="N20" i="1"/>
  <c r="L20" i="1"/>
  <c r="N80" i="1"/>
  <c r="L80" i="1"/>
  <c r="N157" i="1"/>
  <c r="L157" i="1"/>
  <c r="N21" i="1"/>
  <c r="L21" i="1"/>
  <c r="N171" i="1"/>
  <c r="L171" i="1"/>
  <c r="N81" i="1"/>
  <c r="L81" i="1"/>
  <c r="N71" i="1"/>
  <c r="L71" i="1"/>
  <c r="N136" i="1"/>
  <c r="L136" i="1"/>
  <c r="N165" i="1"/>
  <c r="L165" i="1"/>
  <c r="N45" i="1"/>
  <c r="L45" i="1"/>
  <c r="N121" i="1"/>
  <c r="L121" i="1"/>
  <c r="N22" i="1"/>
  <c r="L22" i="1"/>
  <c r="N112" i="1"/>
  <c r="L112" i="1"/>
  <c r="N159" i="1"/>
  <c r="L159" i="1"/>
  <c r="N213" i="1"/>
  <c r="L213" i="1"/>
  <c r="N39" i="1"/>
  <c r="L39" i="1"/>
  <c r="N100" i="1"/>
  <c r="L100" i="1"/>
  <c r="N76" i="1"/>
  <c r="L76" i="1"/>
  <c r="N82" i="1"/>
  <c r="L82" i="1"/>
  <c r="N148" i="1"/>
  <c r="L148" i="1"/>
  <c r="N188" i="1"/>
  <c r="L188" i="1"/>
  <c r="N69" i="1"/>
  <c r="L69" i="1"/>
  <c r="N83" i="1"/>
  <c r="L83" i="1"/>
  <c r="N49" i="1"/>
  <c r="L49" i="1"/>
  <c r="N187" i="1"/>
  <c r="L187" i="1"/>
  <c r="N145" i="1"/>
  <c r="L145" i="1"/>
  <c r="N51" i="1"/>
  <c r="L51" i="1"/>
  <c r="N115" i="1"/>
  <c r="L115" i="1"/>
  <c r="N152" i="1"/>
  <c r="L152" i="1"/>
  <c r="L44" i="1"/>
  <c r="N44" i="1"/>
  <c r="N84" i="1"/>
  <c r="L84" i="1"/>
  <c r="N70" i="1"/>
  <c r="L70" i="1"/>
  <c r="L47" i="1"/>
  <c r="N47" i="1"/>
  <c r="N123" i="1"/>
  <c r="L123" i="1"/>
  <c r="N85" i="1"/>
  <c r="L85" i="1"/>
  <c r="N55" i="1"/>
  <c r="L55" i="1"/>
  <c r="N75" i="1"/>
  <c r="L75" i="1"/>
  <c r="N93" i="1"/>
  <c r="L93" i="1"/>
  <c r="N212" i="1"/>
  <c r="L212" i="1"/>
  <c r="N65" i="1"/>
  <c r="L65" i="1"/>
  <c r="N155" i="1"/>
  <c r="L155" i="1"/>
  <c r="N31" i="1"/>
  <c r="L31" i="1"/>
  <c r="N86" i="1"/>
  <c r="L86" i="1"/>
  <c r="N203" i="1"/>
  <c r="L203" i="1"/>
  <c r="N87" i="1"/>
  <c r="L87" i="1"/>
  <c r="N217" i="1"/>
  <c r="L217" i="1"/>
  <c r="N161" i="1"/>
  <c r="L161" i="1"/>
  <c r="N201" i="1"/>
  <c r="L201" i="1"/>
  <c r="N66" i="1"/>
  <c r="L66" i="1"/>
  <c r="N60" i="1"/>
  <c r="L60" i="1"/>
  <c r="N88" i="1"/>
  <c r="L88" i="1"/>
  <c r="N158" i="1"/>
  <c r="L158" i="1"/>
  <c r="N128" i="1"/>
  <c r="L128" i="1"/>
  <c r="N89" i="1"/>
  <c r="L89" i="1"/>
  <c r="N197" i="1"/>
  <c r="L197" i="1"/>
  <c r="N151" i="1"/>
  <c r="L151" i="1"/>
  <c r="N125" i="1"/>
  <c r="L125" i="1"/>
  <c r="N144" i="1"/>
  <c r="L144" i="1"/>
  <c r="N37" i="1"/>
  <c r="L37" i="1"/>
  <c r="N91" i="1"/>
  <c r="L91" i="1"/>
  <c r="N30" i="1"/>
  <c r="L30" i="1"/>
  <c r="N225" i="1"/>
  <c r="L225" i="1"/>
  <c r="N101" i="1"/>
  <c r="L101" i="1"/>
  <c r="N50" i="1"/>
  <c r="L50" i="1"/>
  <c r="N96" i="1"/>
  <c r="L96" i="1"/>
  <c r="N199" i="1"/>
  <c r="L199" i="1"/>
  <c r="N162" i="1"/>
  <c r="L162" i="1"/>
  <c r="N198" i="1"/>
  <c r="L198" i="1"/>
  <c r="N154" i="1"/>
  <c r="L154" i="1"/>
  <c r="N36" i="1"/>
  <c r="L36" i="1"/>
  <c r="L10" i="1"/>
  <c r="L13" i="1"/>
  <c r="N169" i="1"/>
  <c r="L169" i="1"/>
  <c r="N16" i="1"/>
  <c r="L16" i="1"/>
  <c r="N131" i="1"/>
  <c r="L131" i="1"/>
  <c r="N95" i="1"/>
  <c r="L95" i="1"/>
  <c r="N40" i="1"/>
  <c r="L40" i="1"/>
  <c r="N133" i="1"/>
  <c r="L133" i="1"/>
  <c r="N119" i="1"/>
  <c r="L119" i="1"/>
  <c r="N52" i="1"/>
  <c r="L52" i="1"/>
  <c r="N134" i="1"/>
  <c r="L134" i="1"/>
  <c r="N94" i="1"/>
  <c r="L94" i="1"/>
  <c r="N216" i="1"/>
  <c r="L216" i="1"/>
  <c r="N56" i="1"/>
  <c r="L56" i="1"/>
  <c r="N122" i="1"/>
  <c r="L122" i="1"/>
  <c r="N57" i="1"/>
  <c r="L57" i="1"/>
  <c r="L8" i="1"/>
  <c r="L9" i="1"/>
  <c r="N62" i="1"/>
  <c r="L62" i="1"/>
  <c r="L12" i="1"/>
  <c r="N168" i="1"/>
  <c r="L168" i="1"/>
  <c r="L14" i="1"/>
  <c r="N77" i="1"/>
  <c r="L77" i="1"/>
  <c r="N90" i="1"/>
  <c r="L90" i="1"/>
  <c r="N166" i="1"/>
  <c r="L166" i="1"/>
  <c r="N118" i="1"/>
  <c r="L118" i="1"/>
  <c r="L7" i="1"/>
  <c r="N58" i="1"/>
  <c r="L58" i="1"/>
  <c r="N34" i="1"/>
  <c r="L34" i="1"/>
  <c r="L6" i="1"/>
  <c r="N207" i="1"/>
  <c r="L207" i="1"/>
  <c r="N53" i="1"/>
  <c r="L53" i="1"/>
  <c r="N102" i="1"/>
  <c r="L102" i="1"/>
  <c r="N116" i="1"/>
  <c r="L116" i="1"/>
  <c r="N61" i="1"/>
  <c r="L61" i="1"/>
  <c r="N167" i="1"/>
  <c r="L167" i="1"/>
  <c r="L11" i="1"/>
  <c r="L15" i="1"/>
  <c r="AA189" i="1"/>
  <c r="AA215" i="1"/>
  <c r="AA195" i="1"/>
  <c r="Y184" i="1"/>
  <c r="AA162" i="1"/>
  <c r="AA148" i="1"/>
  <c r="AA156" i="1"/>
  <c r="Y36" i="1"/>
  <c r="AA47" i="1"/>
  <c r="AA220" i="1"/>
  <c r="Y181" i="1"/>
  <c r="AA192" i="1"/>
  <c r="AA104" i="1"/>
  <c r="Y93" i="1"/>
  <c r="AA194" i="1"/>
  <c r="AA106" i="1"/>
  <c r="AA223" i="1"/>
  <c r="Y207" i="1"/>
  <c r="AA218" i="1"/>
  <c r="Y128" i="1"/>
  <c r="Y138" i="1"/>
  <c r="AA149" i="1"/>
  <c r="AA66" i="1"/>
  <c r="AA170" i="1"/>
  <c r="Y58" i="1"/>
  <c r="AA69" i="1"/>
  <c r="AA114" i="1"/>
  <c r="Y103" i="1"/>
  <c r="AA58" i="1"/>
  <c r="Y47" i="1"/>
  <c r="AA52" i="1"/>
  <c r="Y41" i="1"/>
  <c r="AA181" i="1"/>
  <c r="Y170" i="1"/>
  <c r="N184" i="1"/>
  <c r="L173" i="1"/>
  <c r="L130" i="1"/>
  <c r="N141" i="1"/>
  <c r="N183" i="1"/>
  <c r="N177" i="1"/>
  <c r="N124" i="1"/>
  <c r="N160" i="1"/>
  <c r="L189" i="1"/>
  <c r="N200" i="1"/>
  <c r="N127" i="1"/>
  <c r="L153" i="1"/>
  <c r="N164" i="1"/>
  <c r="L48" i="1"/>
  <c r="N59" i="1"/>
  <c r="N135" i="1"/>
  <c r="L124" i="1"/>
  <c r="N67" i="1"/>
  <c r="N105" i="1"/>
  <c r="N43" i="1"/>
  <c r="L32" i="1"/>
  <c r="N215" i="1"/>
  <c r="N173" i="1"/>
  <c r="L202" i="1"/>
  <c r="L67" i="1"/>
  <c r="N78" i="1"/>
  <c r="N72" i="1"/>
  <c r="N140" i="1"/>
  <c r="N209" i="1"/>
  <c r="N163" i="1"/>
  <c r="L126" i="1"/>
  <c r="N156" i="1"/>
  <c r="N103" i="1"/>
  <c r="L92" i="1"/>
  <c r="N42" i="1"/>
  <c r="L97" i="1"/>
  <c r="N108" i="1"/>
  <c r="N211" i="1"/>
  <c r="L200" i="1"/>
  <c r="L163" i="1"/>
  <c r="N174" i="1"/>
  <c r="N48" i="1"/>
  <c r="N181" i="1"/>
  <c r="L170" i="1"/>
  <c r="L17" i="1"/>
  <c r="N28" i="1"/>
  <c r="N143" i="1"/>
  <c r="L135" i="1"/>
  <c r="N146" i="1"/>
  <c r="N74" i="1"/>
  <c r="L63" i="1"/>
  <c r="N130" i="1"/>
  <c r="N46" i="1"/>
  <c r="L35" i="1"/>
  <c r="N219" i="1"/>
  <c r="L103" i="1"/>
  <c r="N114" i="1"/>
  <c r="L226" i="1" l="1"/>
  <c r="N226" i="1"/>
  <c r="AA231" i="1"/>
  <c r="Y237" i="1"/>
  <c r="AA229" i="1"/>
  <c r="Y235" i="1"/>
  <c r="AA235" i="1"/>
  <c r="Y242" i="1"/>
  <c r="Y241" i="1"/>
  <c r="AA241" i="1"/>
  <c r="Y240" i="1"/>
  <c r="Y234" i="1"/>
  <c r="AA234" i="1"/>
  <c r="Y243" i="1"/>
  <c r="AA243" i="1"/>
  <c r="Y239" i="1"/>
  <c r="AA233" i="1"/>
  <c r="Y233" i="1"/>
  <c r="AA232" i="1"/>
  <c r="Y238" i="1"/>
  <c r="Y231" i="1"/>
  <c r="Y230" i="1"/>
  <c r="AA230" i="1"/>
  <c r="L235" i="1"/>
  <c r="L239" i="1"/>
  <c r="N232" i="1"/>
  <c r="L241" i="1"/>
  <c r="N240" i="1"/>
  <c r="L236" i="1"/>
  <c r="N235" i="1"/>
  <c r="AA239" i="1"/>
  <c r="AA237" i="1"/>
  <c r="L237" i="1"/>
  <c r="N237" i="1"/>
  <c r="L240" i="1"/>
  <c r="N239" i="1"/>
  <c r="N231" i="1"/>
  <c r="L232" i="1"/>
  <c r="AA238" i="1"/>
  <c r="AA226" i="1"/>
  <c r="Y226" i="1"/>
  <c r="AA227" i="1"/>
  <c r="Y227" i="1"/>
  <c r="Y228" i="1"/>
  <c r="AA228" i="1"/>
  <c r="N227" i="1"/>
  <c r="L227" i="1"/>
  <c r="L228" i="1"/>
  <c r="N228" i="1"/>
  <c r="AA236" i="1"/>
  <c r="Y236" i="1"/>
  <c r="N238" i="1"/>
  <c r="L238" i="1"/>
  <c r="N233" i="1"/>
  <c r="L233" i="1"/>
  <c r="N243" i="1"/>
  <c r="L243" i="1"/>
  <c r="N229" i="1"/>
  <c r="L229" i="1"/>
  <c r="N234" i="1"/>
  <c r="L234" i="1"/>
  <c r="N230" i="1"/>
  <c r="L230" i="1"/>
  <c r="Y229" i="1"/>
  <c r="AA240" i="1"/>
  <c r="N242" i="1"/>
  <c r="L231" i="1"/>
</calcChain>
</file>

<file path=xl/sharedStrings.xml><?xml version="1.0" encoding="utf-8"?>
<sst xmlns="http://schemas.openxmlformats.org/spreadsheetml/2006/main" count="37" uniqueCount="22">
  <si>
    <t>Filtrado de Series</t>
  </si>
  <si>
    <t>Toneladas</t>
  </si>
  <si>
    <t>Metros cúbicos</t>
  </si>
  <si>
    <t>Meses</t>
  </si>
  <si>
    <t>LOG</t>
  </si>
  <si>
    <t>NIV</t>
  </si>
  <si>
    <t>Índice base 2013 = 100</t>
  </si>
  <si>
    <t>Predicciones del Win X13</t>
  </si>
  <si>
    <t>estacionalidad</t>
  </si>
  <si>
    <t>irregularidad</t>
  </si>
  <si>
    <t>tendencia ciclo</t>
  </si>
  <si>
    <t>filtrado por estacionalidad</t>
  </si>
  <si>
    <t>filtrado por irregularidad</t>
  </si>
  <si>
    <t>BIODIESEL FINAL</t>
  </si>
  <si>
    <t>BIODIESEL DATOS</t>
  </si>
  <si>
    <t>tasa de cambio mensual</t>
  </si>
  <si>
    <t>tasa de cambio anual</t>
  </si>
  <si>
    <t>sin ajuste estacional</t>
  </si>
  <si>
    <t>ajustadas por estacionalidad</t>
  </si>
  <si>
    <t>BIOETANOL DATOS</t>
  </si>
  <si>
    <t>tasa de 
cambio anual</t>
  </si>
  <si>
    <t>filtro de Hodrick-Prescott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</si>
</sst>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_);[Red]\-0.0%_)"/>
    <numFmt numFmtId="165" formatCode="0.0%"/>
    <numFmt numFmtId="166" formatCode="#,##0_ ;[Red]\-#,##0\ "/>
    <numFmt numFmtId="167" formatCode="mm/yyyy"/>
    <numFmt numFmtId="168" formatCode="#,##0.0_ ;[Red]\-#,##0.0\ "/>
    <numFmt numFmtId="169" formatCode="#,##0.0_);[Red]\-#,##0.0_)"/>
    <numFmt numFmtId="170" formatCode="#,##0.00_ ;[Red]\-#,##0.00\ "/>
    <numFmt numFmtId="171" formatCode="#,##0_);[Red]\-#,##0_)"/>
    <numFmt numFmtId="172" formatCode="#,##0.0"/>
  </numFmts>
  <fonts count="19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9"/>
      <color theme="0"/>
      <name val="Arial"/>
      <family val="2"/>
    </font>
    <font>
      <sz val="10"/>
      <color rgb="FF0000FF"/>
      <name val="Arial"/>
      <family val="2"/>
    </font>
    <font>
      <sz val="10"/>
      <color rgb="FFCC00CC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rgb="FFFF0000"/>
      <name val="Arial"/>
      <family val="2"/>
    </font>
    <font>
      <sz val="10"/>
      <color indexed="16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7" tint="0.59999389629810485"/>
        <bgColor indexed="64"/>
      </patternFill>
    </fill>
  </fills>
  <borders count="4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thick">
        <color indexed="64"/>
      </left>
      <right style="dashed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169" fontId="6" fillId="8" borderId="7" xfId="0" applyNumberFormat="1" applyFont="1" applyFill="1" applyBorder="1" applyAlignment="1">
      <alignment horizontal="center"/>
    </xf>
    <xf numFmtId="169" fontId="6" fillId="8" borderId="8" xfId="0" applyNumberFormat="1" applyFont="1" applyFill="1" applyBorder="1" applyAlignment="1">
      <alignment horizontal="center"/>
    </xf>
    <xf numFmtId="169" fontId="6" fillId="8" borderId="7" xfId="0" applyNumberFormat="1" applyFont="1" applyFill="1" applyBorder="1" applyAlignment="1">
      <alignment horizontal="center" vertical="center"/>
    </xf>
    <xf numFmtId="169" fontId="6" fillId="8" borderId="8" xfId="0" applyNumberFormat="1" applyFont="1" applyFill="1" applyBorder="1" applyAlignment="1">
      <alignment horizontal="center" vertical="center"/>
    </xf>
    <xf numFmtId="172" fontId="6" fillId="0" borderId="7" xfId="0" applyNumberFormat="1" applyFont="1" applyBorder="1" applyAlignment="1">
      <alignment horizontal="center"/>
    </xf>
    <xf numFmtId="170" fontId="6" fillId="0" borderId="7" xfId="0" applyNumberFormat="1" applyFont="1" applyBorder="1" applyAlignment="1">
      <alignment horizontal="center"/>
    </xf>
    <xf numFmtId="170" fontId="6" fillId="0" borderId="8" xfId="0" applyNumberFormat="1" applyFont="1" applyBorder="1" applyAlignment="1">
      <alignment horizontal="center"/>
    </xf>
    <xf numFmtId="170" fontId="6" fillId="0" borderId="8" xfId="0" applyNumberFormat="1" applyFont="1" applyBorder="1" applyAlignment="1">
      <alignment horizontal="center" vertical="center"/>
    </xf>
    <xf numFmtId="164" fontId="13" fillId="8" borderId="3" xfId="1" applyNumberFormat="1" applyFont="1" applyFill="1" applyBorder="1" applyAlignment="1">
      <alignment horizontal="center" vertical="center"/>
    </xf>
    <xf numFmtId="169" fontId="6" fillId="0" borderId="3" xfId="0" applyNumberFormat="1" applyFont="1" applyBorder="1" applyAlignment="1">
      <alignment horizontal="center"/>
    </xf>
    <xf numFmtId="169" fontId="3" fillId="0" borderId="3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69" fontId="0" fillId="0" borderId="8" xfId="0" applyNumberFormat="1" applyBorder="1" applyAlignment="1">
      <alignment horizontal="center"/>
    </xf>
    <xf numFmtId="169" fontId="0" fillId="0" borderId="7" xfId="0" applyNumberFormat="1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169" fontId="0" fillId="0" borderId="8" xfId="0" applyNumberFormat="1" applyBorder="1" applyAlignment="1">
      <alignment horizontal="center" vertical="center"/>
    </xf>
    <xf numFmtId="164" fontId="6" fillId="8" borderId="12" xfId="1" applyNumberFormat="1" applyFont="1" applyFill="1" applyBorder="1" applyAlignment="1">
      <alignment horizontal="center" vertical="center"/>
    </xf>
    <xf numFmtId="164" fontId="6" fillId="8" borderId="12" xfId="1" applyNumberFormat="1" applyFon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8" fontId="10" fillId="0" borderId="8" xfId="0" applyNumberFormat="1" applyFont="1" applyBorder="1" applyAlignment="1">
      <alignment horizontal="center"/>
    </xf>
    <xf numFmtId="166" fontId="0" fillId="0" borderId="19" xfId="0" applyNumberFormat="1" applyBorder="1" applyAlignment="1">
      <alignment horizontal="center" vertical="center"/>
    </xf>
    <xf numFmtId="168" fontId="10" fillId="0" borderId="8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Continuous"/>
    </xf>
    <xf numFmtId="0" fontId="0" fillId="4" borderId="11" xfId="0" applyFill="1" applyBorder="1" applyAlignment="1">
      <alignment horizontal="centerContinuous"/>
    </xf>
    <xf numFmtId="0" fontId="0" fillId="5" borderId="2" xfId="0" applyFill="1" applyBorder="1" applyAlignment="1">
      <alignment horizontal="centerContinuous" vertical="center"/>
    </xf>
    <xf numFmtId="1" fontId="9" fillId="4" borderId="2" xfId="0" quotePrefix="1" applyNumberFormat="1" applyFont="1" applyFill="1" applyBorder="1" applyAlignment="1">
      <alignment horizontal="centerContinuous" vertical="center" wrapText="1"/>
    </xf>
    <xf numFmtId="170" fontId="6" fillId="0" borderId="7" xfId="0" applyNumberFormat="1" applyFont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Continuous" vertical="center" wrapText="1"/>
    </xf>
    <xf numFmtId="0" fontId="0" fillId="3" borderId="5" xfId="0" applyFill="1" applyBorder="1" applyAlignment="1">
      <alignment horizontal="centerContinuous"/>
    </xf>
    <xf numFmtId="0" fontId="0" fillId="5" borderId="2" xfId="0" applyFill="1" applyBorder="1" applyAlignment="1">
      <alignment horizontal="centerContinuous" vertical="center" wrapText="1"/>
    </xf>
    <xf numFmtId="0" fontId="5" fillId="5" borderId="6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/>
    </xf>
    <xf numFmtId="0" fontId="0" fillId="5" borderId="6" xfId="0" applyFill="1" applyBorder="1" applyAlignment="1">
      <alignment horizontal="centerContinuous" vertical="center"/>
    </xf>
    <xf numFmtId="169" fontId="17" fillId="0" borderId="3" xfId="0" applyNumberFormat="1" applyFont="1" applyBorder="1" applyAlignment="1">
      <alignment horizontal="center" vertical="center"/>
    </xf>
    <xf numFmtId="165" fontId="16" fillId="0" borderId="3" xfId="1" applyNumberFormat="1" applyFont="1" applyFill="1" applyBorder="1" applyAlignment="1">
      <alignment horizontal="center"/>
    </xf>
    <xf numFmtId="165" fontId="16" fillId="0" borderId="3" xfId="1" applyNumberFormat="1" applyFont="1" applyFill="1" applyBorder="1" applyAlignment="1">
      <alignment horizontal="center" vertical="center"/>
    </xf>
    <xf numFmtId="165" fontId="6" fillId="0" borderId="12" xfId="1" applyNumberFormat="1" applyFont="1" applyFill="1" applyBorder="1" applyAlignment="1">
      <alignment horizontal="center"/>
    </xf>
    <xf numFmtId="166" fontId="0" fillId="8" borderId="32" xfId="0" applyNumberFormat="1" applyFill="1" applyBorder="1" applyAlignment="1">
      <alignment horizontal="center" vertical="center"/>
    </xf>
    <xf numFmtId="168" fontId="10" fillId="8" borderId="8" xfId="0" applyNumberFormat="1" applyFont="1" applyFill="1" applyBorder="1" applyAlignment="1">
      <alignment horizontal="center" vertical="center"/>
    </xf>
    <xf numFmtId="166" fontId="0" fillId="8" borderId="32" xfId="0" applyNumberFormat="1" applyFill="1" applyBorder="1" applyAlignment="1">
      <alignment horizontal="center"/>
    </xf>
    <xf numFmtId="168" fontId="10" fillId="8" borderId="8" xfId="0" applyNumberFormat="1" applyFont="1" applyFill="1" applyBorder="1" applyAlignment="1">
      <alignment horizontal="center"/>
    </xf>
    <xf numFmtId="168" fontId="10" fillId="8" borderId="33" xfId="0" applyNumberFormat="1" applyFon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 vertical="center"/>
    </xf>
    <xf numFmtId="169" fontId="10" fillId="8" borderId="7" xfId="0" applyNumberFormat="1" applyFont="1" applyFill="1" applyBorder="1" applyAlignment="1">
      <alignment horizontal="center" vertical="center"/>
    </xf>
    <xf numFmtId="169" fontId="10" fillId="8" borderId="34" xfId="0" applyNumberFormat="1" applyFont="1" applyFill="1" applyBorder="1" applyAlignment="1">
      <alignment horizontal="center" vertical="center"/>
    </xf>
    <xf numFmtId="169" fontId="10" fillId="8" borderId="7" xfId="0" applyNumberFormat="1" applyFont="1" applyFill="1" applyBorder="1" applyAlignment="1">
      <alignment horizontal="center"/>
    </xf>
    <xf numFmtId="169" fontId="10" fillId="8" borderId="34" xfId="0" applyNumberFormat="1" applyFont="1" applyFill="1" applyBorder="1" applyAlignment="1">
      <alignment horizontal="center"/>
    </xf>
    <xf numFmtId="169" fontId="10" fillId="8" borderId="35" xfId="0" applyNumberFormat="1" applyFont="1" applyFill="1" applyBorder="1" applyAlignment="1">
      <alignment horizontal="center"/>
    </xf>
    <xf numFmtId="169" fontId="10" fillId="8" borderId="36" xfId="0" applyNumberFormat="1" applyFont="1" applyFill="1" applyBorder="1" applyAlignment="1">
      <alignment horizontal="center"/>
    </xf>
    <xf numFmtId="169" fontId="6" fillId="8" borderId="34" xfId="0" applyNumberFormat="1" applyFont="1" applyFill="1" applyBorder="1" applyAlignment="1">
      <alignment horizontal="center"/>
    </xf>
    <xf numFmtId="169" fontId="6" fillId="8" borderId="34" xfId="0" applyNumberFormat="1" applyFont="1" applyFill="1" applyBorder="1" applyAlignment="1">
      <alignment horizontal="center" vertical="center"/>
    </xf>
    <xf numFmtId="170" fontId="6" fillId="8" borderId="7" xfId="0" applyNumberFormat="1" applyFont="1" applyFill="1" applyBorder="1" applyAlignment="1">
      <alignment horizontal="center" vertical="center"/>
    </xf>
    <xf numFmtId="170" fontId="6" fillId="8" borderId="8" xfId="0" applyNumberFormat="1" applyFont="1" applyFill="1" applyBorder="1" applyAlignment="1">
      <alignment horizontal="center" vertical="center"/>
    </xf>
    <xf numFmtId="170" fontId="6" fillId="8" borderId="7" xfId="0" applyNumberFormat="1" applyFont="1" applyFill="1" applyBorder="1" applyAlignment="1">
      <alignment horizontal="center"/>
    </xf>
    <xf numFmtId="170" fontId="6" fillId="8" borderId="8" xfId="0" applyNumberFormat="1" applyFont="1" applyFill="1" applyBorder="1" applyAlignment="1">
      <alignment horizontal="center"/>
    </xf>
    <xf numFmtId="170" fontId="6" fillId="8" borderId="35" xfId="0" applyNumberFormat="1" applyFont="1" applyFill="1" applyBorder="1" applyAlignment="1">
      <alignment horizontal="center"/>
    </xf>
    <xf numFmtId="170" fontId="6" fillId="8" borderId="33" xfId="0" applyNumberFormat="1" applyFont="1" applyFill="1" applyBorder="1" applyAlignment="1">
      <alignment horizontal="center"/>
    </xf>
    <xf numFmtId="170" fontId="17" fillId="0" borderId="8" xfId="0" applyNumberFormat="1" applyFont="1" applyBorder="1" applyAlignment="1">
      <alignment horizontal="center"/>
    </xf>
    <xf numFmtId="170" fontId="17" fillId="0" borderId="8" xfId="0" applyNumberFormat="1" applyFont="1" applyBorder="1" applyAlignment="1">
      <alignment horizontal="center" vertical="center"/>
    </xf>
    <xf numFmtId="169" fontId="15" fillId="8" borderId="7" xfId="0" applyNumberFormat="1" applyFont="1" applyFill="1" applyBorder="1" applyAlignment="1">
      <alignment horizontal="center" vertical="center"/>
    </xf>
    <xf numFmtId="169" fontId="11" fillId="8" borderId="9" xfId="0" applyNumberFormat="1" applyFont="1" applyFill="1" applyBorder="1" applyAlignment="1">
      <alignment horizontal="center" vertical="center"/>
    </xf>
    <xf numFmtId="169" fontId="12" fillId="8" borderId="8" xfId="0" applyNumberFormat="1" applyFont="1" applyFill="1" applyBorder="1" applyAlignment="1">
      <alignment horizontal="center" vertical="center"/>
    </xf>
    <xf numFmtId="169" fontId="15" fillId="8" borderId="7" xfId="0" applyNumberFormat="1" applyFont="1" applyFill="1" applyBorder="1" applyAlignment="1">
      <alignment horizontal="center"/>
    </xf>
    <xf numFmtId="169" fontId="11" fillId="8" borderId="9" xfId="0" applyNumberFormat="1" applyFont="1" applyFill="1" applyBorder="1" applyAlignment="1">
      <alignment horizontal="center"/>
    </xf>
    <xf numFmtId="169" fontId="12" fillId="8" borderId="8" xfId="0" applyNumberFormat="1" applyFont="1" applyFill="1" applyBorder="1" applyAlignment="1">
      <alignment horizontal="center"/>
    </xf>
    <xf numFmtId="169" fontId="15" fillId="8" borderId="35" xfId="0" applyNumberFormat="1" applyFont="1" applyFill="1" applyBorder="1" applyAlignment="1">
      <alignment horizontal="center"/>
    </xf>
    <xf numFmtId="169" fontId="11" fillId="8" borderId="39" xfId="0" applyNumberFormat="1" applyFont="1" applyFill="1" applyBorder="1" applyAlignment="1">
      <alignment horizontal="center"/>
    </xf>
    <xf numFmtId="169" fontId="12" fillId="8" borderId="33" xfId="0" applyNumberFormat="1" applyFont="1" applyFill="1" applyBorder="1" applyAlignment="1">
      <alignment horizontal="center"/>
    </xf>
    <xf numFmtId="169" fontId="16" fillId="0" borderId="9" xfId="0" applyNumberFormat="1" applyFont="1" applyBorder="1" applyAlignment="1">
      <alignment horizontal="center"/>
    </xf>
    <xf numFmtId="169" fontId="16" fillId="0" borderId="8" xfId="0" applyNumberFormat="1" applyFont="1" applyBorder="1" applyAlignment="1">
      <alignment horizontal="center"/>
    </xf>
    <xf numFmtId="169" fontId="16" fillId="0" borderId="7" xfId="0" applyNumberFormat="1" applyFont="1" applyBorder="1" applyAlignment="1">
      <alignment horizontal="center"/>
    </xf>
    <xf numFmtId="169" fontId="16" fillId="0" borderId="7" xfId="0" applyNumberFormat="1" applyFont="1" applyBorder="1" applyAlignment="1">
      <alignment horizontal="center" vertical="center"/>
    </xf>
    <xf numFmtId="169" fontId="16" fillId="0" borderId="9" xfId="0" applyNumberFormat="1" applyFont="1" applyBorder="1" applyAlignment="1">
      <alignment horizontal="center" vertical="center"/>
    </xf>
    <xf numFmtId="169" fontId="16" fillId="0" borderId="8" xfId="0" applyNumberFormat="1" applyFont="1" applyBorder="1" applyAlignment="1">
      <alignment horizontal="center" vertical="center"/>
    </xf>
    <xf numFmtId="169" fontId="14" fillId="8" borderId="3" xfId="0" applyNumberFormat="1" applyFont="1" applyFill="1" applyBorder="1" applyAlignment="1">
      <alignment horizontal="center" vertical="center"/>
    </xf>
    <xf numFmtId="171" fontId="6" fillId="8" borderId="3" xfId="0" applyNumberFormat="1" applyFont="1" applyFill="1" applyBorder="1" applyAlignment="1">
      <alignment vertical="center"/>
    </xf>
    <xf numFmtId="169" fontId="14" fillId="8" borderId="3" xfId="0" applyNumberFormat="1" applyFont="1" applyFill="1" applyBorder="1" applyAlignment="1">
      <alignment horizontal="center"/>
    </xf>
    <xf numFmtId="164" fontId="13" fillId="8" borderId="3" xfId="1" applyNumberFormat="1" applyFont="1" applyFill="1" applyBorder="1" applyAlignment="1">
      <alignment horizontal="center"/>
    </xf>
    <xf numFmtId="171" fontId="6" fillId="8" borderId="3" xfId="0" applyNumberFormat="1" applyFont="1" applyFill="1" applyBorder="1"/>
    <xf numFmtId="169" fontId="14" fillId="8" borderId="40" xfId="0" applyNumberFormat="1" applyFont="1" applyFill="1" applyBorder="1" applyAlignment="1">
      <alignment horizontal="center"/>
    </xf>
    <xf numFmtId="164" fontId="13" fillId="8" borderId="40" xfId="1" applyNumberFormat="1" applyFont="1" applyFill="1" applyBorder="1" applyAlignment="1">
      <alignment horizontal="center"/>
    </xf>
    <xf numFmtId="171" fontId="6" fillId="8" borderId="40" xfId="0" applyNumberFormat="1" applyFont="1" applyFill="1" applyBorder="1"/>
    <xf numFmtId="165" fontId="16" fillId="8" borderId="3" xfId="1" applyNumberFormat="1" applyFont="1" applyFill="1" applyBorder="1" applyAlignment="1">
      <alignment horizontal="center"/>
    </xf>
    <xf numFmtId="169" fontId="17" fillId="0" borderId="3" xfId="0" applyNumberFormat="1" applyFont="1" applyBorder="1" applyAlignment="1">
      <alignment horizontal="center"/>
    </xf>
    <xf numFmtId="164" fontId="6" fillId="8" borderId="41" xfId="1" applyNumberFormat="1" applyFont="1" applyFill="1" applyBorder="1" applyAlignment="1">
      <alignment horizontal="center"/>
    </xf>
    <xf numFmtId="172" fontId="17" fillId="0" borderId="7" xfId="0" applyNumberFormat="1" applyFont="1" applyBorder="1" applyAlignment="1">
      <alignment horizontal="center"/>
    </xf>
    <xf numFmtId="0" fontId="9" fillId="3" borderId="2" xfId="0" applyFont="1" applyFill="1" applyBorder="1" applyAlignment="1">
      <alignment horizontal="centerContinuous" vertical="center" wrapText="1"/>
    </xf>
    <xf numFmtId="166" fontId="0" fillId="8" borderId="42" xfId="0" applyNumberFormat="1" applyFill="1" applyBorder="1" applyAlignment="1">
      <alignment horizontal="center"/>
    </xf>
    <xf numFmtId="4" fontId="17" fillId="0" borderId="7" xfId="0" applyNumberFormat="1" applyFont="1" applyBorder="1" applyAlignment="1">
      <alignment horizontal="center"/>
    </xf>
    <xf numFmtId="4" fontId="17" fillId="0" borderId="7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/>
    </xf>
    <xf numFmtId="4" fontId="6" fillId="0" borderId="7" xfId="0" applyNumberFormat="1" applyFont="1" applyBorder="1" applyAlignment="1">
      <alignment horizontal="center" vertical="center"/>
    </xf>
    <xf numFmtId="168" fontId="0" fillId="10" borderId="8" xfId="0" applyNumberFormat="1" applyFill="1" applyBorder="1" applyAlignment="1">
      <alignment horizontal="center"/>
    </xf>
    <xf numFmtId="169" fontId="3" fillId="10" borderId="3" xfId="0" applyNumberFormat="1" applyFont="1" applyFill="1" applyBorder="1" applyAlignment="1">
      <alignment horizontal="center"/>
    </xf>
    <xf numFmtId="165" fontId="16" fillId="10" borderId="3" xfId="1" applyNumberFormat="1" applyFont="1" applyFill="1" applyBorder="1" applyAlignment="1">
      <alignment horizontal="center"/>
    </xf>
    <xf numFmtId="11" fontId="8" fillId="0" borderId="24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Continuous" vertical="center"/>
    </xf>
    <xf numFmtId="1" fontId="6" fillId="0" borderId="25" xfId="0" applyNumberFormat="1" applyFont="1" applyBorder="1" applyAlignment="1">
      <alignment horizontal="center" vertical="center" wrapText="1"/>
    </xf>
    <xf numFmtId="0" fontId="6" fillId="0" borderId="27" xfId="0" quotePrefix="1" applyFont="1" applyBorder="1" applyAlignment="1">
      <alignment horizontal="center" vertical="center" wrapText="1"/>
    </xf>
    <xf numFmtId="168" fontId="16" fillId="6" borderId="34" xfId="0" applyNumberFormat="1" applyFont="1" applyFill="1" applyBorder="1" applyAlignment="1">
      <alignment horizontal="center"/>
    </xf>
    <xf numFmtId="169" fontId="3" fillId="6" borderId="3" xfId="0" applyNumberFormat="1" applyFont="1" applyFill="1" applyBorder="1" applyAlignment="1">
      <alignment horizontal="center"/>
    </xf>
    <xf numFmtId="165" fontId="18" fillId="6" borderId="3" xfId="1" applyNumberFormat="1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6" fillId="7" borderId="15" xfId="0" quotePrefix="1" applyFont="1" applyFill="1" applyBorder="1" applyAlignment="1">
      <alignment horizontal="center" vertical="center" wrapText="1"/>
    </xf>
    <xf numFmtId="0" fontId="6" fillId="7" borderId="10" xfId="0" quotePrefix="1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7" borderId="14" xfId="0" quotePrefix="1" applyFont="1" applyFill="1" applyBorder="1" applyAlignment="1">
      <alignment horizontal="center" vertical="center" wrapText="1"/>
    </xf>
    <xf numFmtId="0" fontId="6" fillId="7" borderId="23" xfId="0" quotePrefix="1" applyFont="1" applyFill="1" applyBorder="1" applyAlignment="1">
      <alignment horizontal="center" vertical="center" wrapText="1"/>
    </xf>
    <xf numFmtId="0" fontId="6" fillId="0" borderId="22" xfId="0" quotePrefix="1" applyFont="1" applyBorder="1" applyAlignment="1">
      <alignment horizontal="center" vertical="center" wrapText="1"/>
    </xf>
    <xf numFmtId="0" fontId="6" fillId="0" borderId="18" xfId="0" quotePrefix="1" applyFont="1" applyBorder="1" applyAlignment="1">
      <alignment horizontal="center" vertical="center" wrapText="1"/>
    </xf>
    <xf numFmtId="0" fontId="6" fillId="0" borderId="37" xfId="0" quotePrefix="1" applyFont="1" applyBorder="1" applyAlignment="1">
      <alignment horizontal="center" vertical="center" wrapText="1"/>
    </xf>
    <xf numFmtId="0" fontId="6" fillId="0" borderId="38" xfId="0" quotePrefix="1" applyFont="1" applyBorder="1" applyAlignment="1">
      <alignment horizontal="center" vertical="center" wrapText="1"/>
    </xf>
    <xf numFmtId="0" fontId="6" fillId="0" borderId="16" xfId="0" quotePrefix="1" applyFont="1" applyBorder="1" applyAlignment="1">
      <alignment horizontal="center" vertical="center" wrapText="1"/>
    </xf>
    <xf numFmtId="0" fontId="6" fillId="0" borderId="17" xfId="0" quotePrefix="1" applyFont="1" applyBorder="1" applyAlignment="1">
      <alignment horizontal="center" vertical="center" wrapText="1"/>
    </xf>
    <xf numFmtId="0" fontId="4" fillId="0" borderId="22" xfId="0" quotePrefix="1" applyFont="1" applyBorder="1" applyAlignment="1">
      <alignment horizontal="center" vertical="center" wrapText="1"/>
    </xf>
    <xf numFmtId="0" fontId="4" fillId="0" borderId="18" xfId="0" quotePrefix="1" applyFont="1" applyBorder="1" applyAlignment="1">
      <alignment horizontal="center" vertical="center" wrapText="1"/>
    </xf>
    <xf numFmtId="0" fontId="4" fillId="0" borderId="28" xfId="0" quotePrefix="1" applyFont="1" applyBorder="1" applyAlignment="1">
      <alignment horizontal="center" vertical="center" wrapText="1"/>
    </xf>
    <xf numFmtId="0" fontId="4" fillId="0" borderId="29" xfId="0" quotePrefix="1" applyFont="1" applyBorder="1" applyAlignment="1">
      <alignment horizontal="center" vertical="center" wrapText="1"/>
    </xf>
    <xf numFmtId="0" fontId="4" fillId="0" borderId="16" xfId="0" quotePrefix="1" applyFont="1" applyBorder="1" applyAlignment="1">
      <alignment horizontal="center" vertical="center" wrapText="1"/>
    </xf>
    <xf numFmtId="0" fontId="4" fillId="0" borderId="17" xfId="0" quotePrefix="1" applyFont="1" applyBorder="1" applyAlignment="1">
      <alignment horizontal="center" vertical="center" wrapText="1"/>
    </xf>
    <xf numFmtId="1" fontId="6" fillId="0" borderId="30" xfId="0" applyNumberFormat="1" applyFont="1" applyBorder="1" applyAlignment="1">
      <alignment horizontal="center" vertical="center" wrapText="1"/>
    </xf>
    <xf numFmtId="1" fontId="6" fillId="0" borderId="31" xfId="0" applyNumberFormat="1" applyFont="1" applyBorder="1" applyAlignment="1">
      <alignment horizontal="center" vertical="center" wrapText="1"/>
    </xf>
    <xf numFmtId="1" fontId="6" fillId="0" borderId="20" xfId="0" applyNumberFormat="1" applyFont="1" applyBorder="1" applyAlignment="1">
      <alignment horizontal="center" vertical="center" wrapText="1"/>
    </xf>
    <xf numFmtId="1" fontId="6" fillId="0" borderId="21" xfId="0" applyNumberFormat="1" applyFont="1" applyBorder="1" applyAlignment="1">
      <alignment horizontal="center" vertical="center" wrapText="1"/>
    </xf>
    <xf numFmtId="0" fontId="6" fillId="0" borderId="6" xfId="0" quotePrefix="1" applyFont="1" applyBorder="1" applyAlignment="1">
      <alignment horizontal="center" vertical="center" wrapText="1"/>
    </xf>
    <xf numFmtId="0" fontId="6" fillId="0" borderId="13" xfId="0" quotePrefix="1" applyFont="1" applyBorder="1" applyAlignment="1">
      <alignment horizontal="center" vertical="center" wrapText="1"/>
    </xf>
  </cellXfs>
  <cellStyles count="4">
    <cellStyle name="Normal" xfId="0" builtinId="0"/>
    <cellStyle name="Porcentaje" xfId="1" builtinId="5"/>
    <cellStyle name="Porcentaje 2" xfId="3" xr:uid="{6DEA204B-984A-4079-B2D7-24D1BC8A1293}"/>
    <cellStyle name="Porcentaje 3" xfId="2" xr:uid="{96362B39-38A8-4DC6-8986-F77E498B5104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6CC7-4196-47B7-AD68-3EC5C23E0F40}">
  <dimension ref="A1:AA243"/>
  <sheetViews>
    <sheetView tabSelected="1" zoomScaleNormal="100" workbookViewId="0">
      <pane xSplit="1" ySplit="3" topLeftCell="B224" activePane="bottomRight" state="frozen"/>
      <selection pane="topRight" activeCell="B1" sqref="B1"/>
      <selection pane="bottomLeft" activeCell="A6" sqref="A6"/>
      <selection pane="bottomRight" activeCell="A237" sqref="A237"/>
    </sheetView>
  </sheetViews>
  <sheetFormatPr baseColWidth="10" defaultRowHeight="12.75" x14ac:dyDescent="0.2"/>
  <cols>
    <col min="1" max="1" width="9" customWidth="1"/>
    <col min="2" max="11" width="12.7109375" bestFit="1" customWidth="1"/>
    <col min="12" max="13" width="13.42578125" customWidth="1"/>
    <col min="14" max="24" width="12.7109375" bestFit="1" customWidth="1"/>
    <col min="25" max="25" width="13" customWidth="1"/>
    <col min="26" max="26" width="13.42578125" customWidth="1"/>
    <col min="27" max="27" width="12.7109375" bestFit="1" customWidth="1"/>
  </cols>
  <sheetData>
    <row r="1" spans="1:27" ht="24" customHeight="1" x14ac:dyDescent="0.2">
      <c r="A1" s="1"/>
      <c r="B1" s="36" t="s">
        <v>14</v>
      </c>
      <c r="C1" s="37"/>
      <c r="D1" s="38" t="s">
        <v>7</v>
      </c>
      <c r="E1" s="39"/>
      <c r="F1" s="40" t="s">
        <v>0</v>
      </c>
      <c r="G1" s="32"/>
      <c r="H1" s="32"/>
      <c r="I1" s="32"/>
      <c r="J1" s="41"/>
      <c r="K1" s="33" t="s">
        <v>13</v>
      </c>
      <c r="L1" s="30"/>
      <c r="M1" s="30"/>
      <c r="N1" s="31"/>
      <c r="O1" s="96" t="s">
        <v>19</v>
      </c>
      <c r="P1" s="37"/>
      <c r="Q1" s="38" t="s">
        <v>7</v>
      </c>
      <c r="R1" s="39"/>
      <c r="S1" s="40" t="s">
        <v>0</v>
      </c>
      <c r="T1" s="32"/>
      <c r="U1" s="32"/>
      <c r="V1" s="32"/>
      <c r="W1" s="41"/>
      <c r="X1" s="33" t="s">
        <v>13</v>
      </c>
      <c r="Y1" s="30"/>
      <c r="Z1" s="30"/>
      <c r="AA1" s="31"/>
    </row>
    <row r="2" spans="1:27" ht="12.95" customHeight="1" x14ac:dyDescent="0.2">
      <c r="A2" s="2"/>
      <c r="B2" s="134" t="s">
        <v>1</v>
      </c>
      <c r="C2" s="105">
        <f>100/AVERAGE(B64:B75)</f>
        <v>6.0065802086185414E-4</v>
      </c>
      <c r="D2" s="120" t="s">
        <v>17</v>
      </c>
      <c r="E2" s="136" t="s">
        <v>18</v>
      </c>
      <c r="F2" s="106" t="s">
        <v>4</v>
      </c>
      <c r="G2" s="124" t="s">
        <v>9</v>
      </c>
      <c r="H2" s="126" t="s">
        <v>10</v>
      </c>
      <c r="I2" s="128" t="s">
        <v>11</v>
      </c>
      <c r="J2" s="130" t="s">
        <v>12</v>
      </c>
      <c r="K2" s="112" t="s">
        <v>6</v>
      </c>
      <c r="L2" s="114" t="s">
        <v>15</v>
      </c>
      <c r="M2" s="116" t="s">
        <v>21</v>
      </c>
      <c r="N2" s="118" t="s">
        <v>20</v>
      </c>
      <c r="O2" s="132" t="s">
        <v>2</v>
      </c>
      <c r="P2" s="105">
        <f>100/AVERAGE(O64:O75)</f>
        <v>2.5403277022735932E-3</v>
      </c>
      <c r="Q2" s="120" t="s">
        <v>17</v>
      </c>
      <c r="R2" s="122" t="s">
        <v>18</v>
      </c>
      <c r="S2" s="106" t="s">
        <v>5</v>
      </c>
      <c r="T2" s="124" t="s">
        <v>9</v>
      </c>
      <c r="U2" s="126" t="s">
        <v>10</v>
      </c>
      <c r="V2" s="128" t="s">
        <v>11</v>
      </c>
      <c r="W2" s="130" t="s">
        <v>12</v>
      </c>
      <c r="X2" s="112" t="s">
        <v>6</v>
      </c>
      <c r="Y2" s="114" t="s">
        <v>15</v>
      </c>
      <c r="Z2" s="116" t="s">
        <v>21</v>
      </c>
      <c r="AA2" s="118" t="s">
        <v>16</v>
      </c>
    </row>
    <row r="3" spans="1:27" ht="24" customHeight="1" thickBot="1" x14ac:dyDescent="0.25">
      <c r="A3" s="3" t="s">
        <v>3</v>
      </c>
      <c r="B3" s="135"/>
      <c r="C3" s="107" t="s">
        <v>6</v>
      </c>
      <c r="D3" s="121"/>
      <c r="E3" s="137"/>
      <c r="F3" s="108" t="s">
        <v>8</v>
      </c>
      <c r="G3" s="125"/>
      <c r="H3" s="127"/>
      <c r="I3" s="129"/>
      <c r="J3" s="131"/>
      <c r="K3" s="113"/>
      <c r="L3" s="115"/>
      <c r="M3" s="117"/>
      <c r="N3" s="119"/>
      <c r="O3" s="133"/>
      <c r="P3" s="107" t="s">
        <v>6</v>
      </c>
      <c r="Q3" s="121"/>
      <c r="R3" s="123"/>
      <c r="S3" s="108" t="s">
        <v>8</v>
      </c>
      <c r="T3" s="125"/>
      <c r="U3" s="127"/>
      <c r="V3" s="129"/>
      <c r="W3" s="131"/>
      <c r="X3" s="113"/>
      <c r="Y3" s="115"/>
      <c r="Z3" s="117"/>
      <c r="AA3" s="119"/>
    </row>
    <row r="4" spans="1:27" s="6" customFormat="1" x14ac:dyDescent="0.2">
      <c r="A4" s="5">
        <v>39448</v>
      </c>
      <c r="B4" s="28">
        <v>47251</v>
      </c>
      <c r="C4" s="29">
        <f t="shared" ref="C4:C67" si="0">B4*C$2</f>
        <v>28.381692143743471</v>
      </c>
      <c r="D4" s="7" t="e">
        <v>#N/A</v>
      </c>
      <c r="E4" s="8" t="e">
        <v>#N/A</v>
      </c>
      <c r="F4" s="34">
        <v>0.90080277698690703</v>
      </c>
      <c r="G4" s="14">
        <v>1</v>
      </c>
      <c r="H4" s="21">
        <v>30.354473833569699</v>
      </c>
      <c r="I4" s="22">
        <f t="shared" ref="I4:I67" si="1">IFERROR(IF($F$2="NIV",C4-F4,C4/F4),NA())</f>
        <v>31.507109956607064</v>
      </c>
      <c r="J4" s="23">
        <f>I4*G4+(1-G4)*H4</f>
        <v>31.507109956607064</v>
      </c>
      <c r="K4" s="35">
        <f>(J4^2/J5+2*J4+J5)/4</f>
        <v>31.51017725760288</v>
      </c>
      <c r="L4" s="15"/>
      <c r="M4" s="42">
        <v>34.084523001163006</v>
      </c>
      <c r="N4" s="24"/>
      <c r="O4" s="46"/>
      <c r="P4" s="47"/>
      <c r="Q4" s="53"/>
      <c r="R4" s="54"/>
      <c r="S4" s="61"/>
      <c r="T4" s="62"/>
      <c r="U4" s="69"/>
      <c r="V4" s="70"/>
      <c r="W4" s="71"/>
      <c r="X4" s="84"/>
      <c r="Y4" s="15"/>
      <c r="Z4" s="85"/>
      <c r="AA4" s="24"/>
    </row>
    <row r="5" spans="1:27" x14ac:dyDescent="0.2">
      <c r="A5" s="4">
        <f t="shared" ref="A5:A24" si="2">EDATE(A4,1)</f>
        <v>39479</v>
      </c>
      <c r="B5" s="26">
        <v>38747</v>
      </c>
      <c r="C5" s="27">
        <f t="shared" si="0"/>
        <v>23.273696334334261</v>
      </c>
      <c r="D5" s="7" t="e">
        <v>#N/A</v>
      </c>
      <c r="E5" s="8" t="e">
        <v>#N/A</v>
      </c>
      <c r="F5" s="12">
        <v>0.75340205745009103</v>
      </c>
      <c r="G5" s="13">
        <v>1</v>
      </c>
      <c r="H5" s="18">
        <v>29.6302424473146</v>
      </c>
      <c r="I5" s="19">
        <f t="shared" si="1"/>
        <v>30.891469042578269</v>
      </c>
      <c r="J5" s="20">
        <f t="shared" ref="J5:J67" si="3">I5*G5+(1-G5)*H5</f>
        <v>30.891469042578269</v>
      </c>
      <c r="K5" s="17">
        <f>(J4+2*J5+J6)/4</f>
        <v>31.115846251705829</v>
      </c>
      <c r="L5" s="43">
        <f t="shared" ref="L5:L68" si="4">LN(K5/K4)</f>
        <v>-1.2593365993666398E-2</v>
      </c>
      <c r="M5" s="16">
        <v>35.968355881522008</v>
      </c>
      <c r="N5" s="25"/>
      <c r="O5" s="48"/>
      <c r="P5" s="49"/>
      <c r="Q5" s="55"/>
      <c r="R5" s="56"/>
      <c r="S5" s="63"/>
      <c r="T5" s="64"/>
      <c r="U5" s="72"/>
      <c r="V5" s="73"/>
      <c r="W5" s="74"/>
      <c r="X5" s="86"/>
      <c r="Y5" s="87"/>
      <c r="Z5" s="88"/>
      <c r="AA5" s="25"/>
    </row>
    <row r="6" spans="1:27" x14ac:dyDescent="0.2">
      <c r="A6" s="4">
        <f t="shared" si="2"/>
        <v>39508</v>
      </c>
      <c r="B6" s="26">
        <v>42095</v>
      </c>
      <c r="C6" s="27">
        <f t="shared" si="0"/>
        <v>25.284699388179749</v>
      </c>
      <c r="D6" s="7" t="e">
        <v>#N/A</v>
      </c>
      <c r="E6" s="8" t="e">
        <v>#N/A</v>
      </c>
      <c r="F6" s="12">
        <v>0.81110018528076799</v>
      </c>
      <c r="G6" s="13">
        <v>1</v>
      </c>
      <c r="H6" s="18">
        <v>29.421438638824</v>
      </c>
      <c r="I6" s="19">
        <f t="shared" si="1"/>
        <v>31.173336965059715</v>
      </c>
      <c r="J6" s="20">
        <f t="shared" si="3"/>
        <v>31.173336965059715</v>
      </c>
      <c r="K6" s="17">
        <f t="shared" ref="K6" si="5">(J5+2*J6+J7)/4</f>
        <v>30.12613209690771</v>
      </c>
      <c r="L6" s="43">
        <f t="shared" si="4"/>
        <v>-3.2324244114280191E-2</v>
      </c>
      <c r="M6" s="16">
        <v>37.852168898102121</v>
      </c>
      <c r="N6" s="25"/>
      <c r="O6" s="48"/>
      <c r="P6" s="49"/>
      <c r="Q6" s="55"/>
      <c r="R6" s="56"/>
      <c r="S6" s="63"/>
      <c r="T6" s="64"/>
      <c r="U6" s="72"/>
      <c r="V6" s="73"/>
      <c r="W6" s="74"/>
      <c r="X6" s="86"/>
      <c r="Y6" s="87"/>
      <c r="Z6" s="88"/>
      <c r="AA6" s="25"/>
    </row>
    <row r="7" spans="1:27" x14ac:dyDescent="0.2">
      <c r="A7" s="4">
        <f t="shared" si="2"/>
        <v>39539</v>
      </c>
      <c r="B7" s="26">
        <v>43881</v>
      </c>
      <c r="C7" s="27">
        <f t="shared" si="0"/>
        <v>26.35747461343902</v>
      </c>
      <c r="D7" s="7" t="e">
        <v>#N/A</v>
      </c>
      <c r="E7" s="8" t="e">
        <v>#N/A</v>
      </c>
      <c r="F7" s="12">
        <v>0.96666551918552701</v>
      </c>
      <c r="G7" s="13">
        <v>1</v>
      </c>
      <c r="H7" s="18">
        <v>29.6771046861572</v>
      </c>
      <c r="I7" s="19">
        <f t="shared" si="1"/>
        <v>27.266385414933136</v>
      </c>
      <c r="J7" s="20">
        <f t="shared" si="3"/>
        <v>27.266385414933136</v>
      </c>
      <c r="K7" s="17">
        <f t="shared" ref="K7:K70" si="6">IFERROR((J6+2*J7+J8)/4,(J6+J7*2)/3)</f>
        <v>28.771831723073824</v>
      </c>
      <c r="L7" s="43">
        <f t="shared" si="4"/>
        <v>-4.5996127732040211E-2</v>
      </c>
      <c r="M7" s="16">
        <v>39.735904744920532</v>
      </c>
      <c r="N7" s="25"/>
      <c r="O7" s="48"/>
      <c r="P7" s="49"/>
      <c r="Q7" s="55"/>
      <c r="R7" s="56"/>
      <c r="S7" s="63"/>
      <c r="T7" s="64"/>
      <c r="U7" s="72"/>
      <c r="V7" s="73"/>
      <c r="W7" s="74"/>
      <c r="X7" s="86"/>
      <c r="Y7" s="87"/>
      <c r="Z7" s="88"/>
      <c r="AA7" s="25"/>
    </row>
    <row r="8" spans="1:27" x14ac:dyDescent="0.2">
      <c r="A8" s="4">
        <f t="shared" si="2"/>
        <v>39569</v>
      </c>
      <c r="B8" s="26">
        <v>51679</v>
      </c>
      <c r="C8" s="27">
        <f t="shared" si="0"/>
        <v>31.04140586011976</v>
      </c>
      <c r="D8" s="7" t="e">
        <v>#N/A</v>
      </c>
      <c r="E8" s="8" t="e">
        <v>#N/A</v>
      </c>
      <c r="F8" s="12">
        <v>1.0565050332747801</v>
      </c>
      <c r="G8" s="13">
        <v>1</v>
      </c>
      <c r="H8" s="18">
        <v>30.919834745827899</v>
      </c>
      <c r="I8" s="19">
        <f t="shared" si="1"/>
        <v>29.381219097369303</v>
      </c>
      <c r="J8" s="20">
        <f t="shared" si="3"/>
        <v>29.381219097369303</v>
      </c>
      <c r="K8" s="17">
        <f t="shared" si="6"/>
        <v>28.808244536441599</v>
      </c>
      <c r="L8" s="43">
        <f t="shared" si="4"/>
        <v>1.2647714482916332E-3</v>
      </c>
      <c r="M8" s="16">
        <v>41.619446501512783</v>
      </c>
      <c r="N8" s="25"/>
      <c r="O8" s="48"/>
      <c r="P8" s="49"/>
      <c r="Q8" s="55"/>
      <c r="R8" s="56"/>
      <c r="S8" s="63"/>
      <c r="T8" s="64"/>
      <c r="U8" s="72"/>
      <c r="V8" s="73"/>
      <c r="W8" s="74"/>
      <c r="X8" s="86"/>
      <c r="Y8" s="87"/>
      <c r="Z8" s="88"/>
      <c r="AA8" s="25"/>
    </row>
    <row r="9" spans="1:27" x14ac:dyDescent="0.2">
      <c r="A9" s="4">
        <f t="shared" si="2"/>
        <v>39600</v>
      </c>
      <c r="B9" s="26">
        <v>50726</v>
      </c>
      <c r="C9" s="27">
        <f t="shared" si="0"/>
        <v>30.468978766238411</v>
      </c>
      <c r="D9" s="7" t="e">
        <v>#N/A</v>
      </c>
      <c r="E9" s="8" t="e">
        <v>#N/A</v>
      </c>
      <c r="F9" s="12">
        <v>1.0433097362425101</v>
      </c>
      <c r="G9" s="13">
        <v>1</v>
      </c>
      <c r="H9" s="18">
        <v>33.329158930144999</v>
      </c>
      <c r="I9" s="19">
        <f t="shared" si="1"/>
        <v>29.204154536094649</v>
      </c>
      <c r="J9" s="20">
        <f t="shared" si="3"/>
        <v>29.204154536094649</v>
      </c>
      <c r="K9" s="17">
        <f t="shared" si="6"/>
        <v>31.060187341335975</v>
      </c>
      <c r="L9" s="43">
        <f t="shared" si="4"/>
        <v>7.5265234495899336E-2</v>
      </c>
      <c r="M9" s="16">
        <v>43.502592648085887</v>
      </c>
      <c r="N9" s="25"/>
      <c r="O9" s="48"/>
      <c r="P9" s="49"/>
      <c r="Q9" s="55"/>
      <c r="R9" s="56"/>
      <c r="S9" s="63"/>
      <c r="T9" s="64"/>
      <c r="U9" s="72"/>
      <c r="V9" s="73"/>
      <c r="W9" s="74"/>
      <c r="X9" s="86"/>
      <c r="Y9" s="87"/>
      <c r="Z9" s="88"/>
      <c r="AA9" s="25"/>
    </row>
    <row r="10" spans="1:27" x14ac:dyDescent="0.2">
      <c r="A10" s="4">
        <f t="shared" si="2"/>
        <v>39630</v>
      </c>
      <c r="B10" s="26">
        <v>71888</v>
      </c>
      <c r="C10" s="27">
        <f t="shared" si="0"/>
        <v>43.180103803716968</v>
      </c>
      <c r="D10" s="7" t="e">
        <v>#N/A</v>
      </c>
      <c r="E10" s="8" t="e">
        <v>#N/A</v>
      </c>
      <c r="F10" s="12">
        <v>1.18459964816514</v>
      </c>
      <c r="G10" s="13">
        <v>1</v>
      </c>
      <c r="H10" s="18">
        <v>36.311352298411499</v>
      </c>
      <c r="I10" s="19">
        <f t="shared" si="1"/>
        <v>36.451221195785308</v>
      </c>
      <c r="J10" s="20">
        <f t="shared" si="3"/>
        <v>36.451221195785308</v>
      </c>
      <c r="K10" s="17">
        <f t="shared" si="6"/>
        <v>36.403452647098149</v>
      </c>
      <c r="L10" s="43">
        <f t="shared" si="4"/>
        <v>0.15873677378949708</v>
      </c>
      <c r="M10" s="16">
        <v>45.385042812979528</v>
      </c>
      <c r="N10" s="25"/>
      <c r="O10" s="48"/>
      <c r="P10" s="49"/>
      <c r="Q10" s="55"/>
      <c r="R10" s="56"/>
      <c r="S10" s="63"/>
      <c r="T10" s="64"/>
      <c r="U10" s="72"/>
      <c r="V10" s="73"/>
      <c r="W10" s="74"/>
      <c r="X10" s="86"/>
      <c r="Y10" s="87"/>
      <c r="Z10" s="88"/>
      <c r="AA10" s="25"/>
    </row>
    <row r="11" spans="1:27" x14ac:dyDescent="0.2">
      <c r="A11" s="4">
        <f t="shared" si="2"/>
        <v>39661</v>
      </c>
      <c r="B11" s="26">
        <v>91595</v>
      </c>
      <c r="C11" s="27">
        <f t="shared" si="0"/>
        <v>55.017271420841531</v>
      </c>
      <c r="D11" s="7" t="e">
        <v>#N/A</v>
      </c>
      <c r="E11" s="8" t="e">
        <v>#N/A</v>
      </c>
      <c r="F11" s="12">
        <v>1.19187418833468</v>
      </c>
      <c r="G11" s="13">
        <v>0.64027190988765603</v>
      </c>
      <c r="H11" s="18">
        <v>38.785043176822597</v>
      </c>
      <c r="I11" s="19">
        <f t="shared" si="1"/>
        <v>46.160301111741674</v>
      </c>
      <c r="J11" s="20">
        <f t="shared" si="3"/>
        <v>43.507213660727324</v>
      </c>
      <c r="K11" s="17">
        <f t="shared" si="6"/>
        <v>41.861993855005693</v>
      </c>
      <c r="L11" s="43">
        <f t="shared" si="4"/>
        <v>0.13971472430674395</v>
      </c>
      <c r="M11" s="16">
        <v>47.266400618319807</v>
      </c>
      <c r="N11" s="25"/>
      <c r="O11" s="48"/>
      <c r="P11" s="49"/>
      <c r="Q11" s="55"/>
      <c r="R11" s="56"/>
      <c r="S11" s="63"/>
      <c r="T11" s="64"/>
      <c r="U11" s="72"/>
      <c r="V11" s="73"/>
      <c r="W11" s="74"/>
      <c r="X11" s="86"/>
      <c r="Y11" s="87"/>
      <c r="Z11" s="88"/>
      <c r="AA11" s="25"/>
    </row>
    <row r="12" spans="1:27" x14ac:dyDescent="0.2">
      <c r="A12" s="4">
        <f t="shared" si="2"/>
        <v>39692</v>
      </c>
      <c r="B12" s="26">
        <v>83924</v>
      </c>
      <c r="C12" s="27">
        <f t="shared" si="0"/>
        <v>50.409623742810247</v>
      </c>
      <c r="D12" s="7" t="e">
        <v>#N/A</v>
      </c>
      <c r="E12" s="8" t="e">
        <v>#N/A</v>
      </c>
      <c r="F12" s="12">
        <v>1.1461336244040501</v>
      </c>
      <c r="G12" s="13">
        <v>1</v>
      </c>
      <c r="H12" s="18">
        <v>39.816086421906498</v>
      </c>
      <c r="I12" s="19">
        <f t="shared" si="1"/>
        <v>43.98232690278283</v>
      </c>
      <c r="J12" s="20">
        <f t="shared" si="3"/>
        <v>43.98232690278283</v>
      </c>
      <c r="K12" s="17">
        <f t="shared" si="6"/>
        <v>42.668298631089222</v>
      </c>
      <c r="L12" s="43">
        <f t="shared" si="4"/>
        <v>1.9077876292740627E-2</v>
      </c>
      <c r="M12" s="16">
        <v>49.146200383839528</v>
      </c>
      <c r="N12" s="25"/>
      <c r="O12" s="48"/>
      <c r="P12" s="49"/>
      <c r="Q12" s="55"/>
      <c r="R12" s="56"/>
      <c r="S12" s="63"/>
      <c r="T12" s="64"/>
      <c r="U12" s="72"/>
      <c r="V12" s="73"/>
      <c r="W12" s="74"/>
      <c r="X12" s="86"/>
      <c r="Y12" s="87"/>
      <c r="Z12" s="88"/>
      <c r="AA12" s="25"/>
    </row>
    <row r="13" spans="1:27" x14ac:dyDescent="0.2">
      <c r="A13" s="4">
        <f t="shared" si="2"/>
        <v>39722</v>
      </c>
      <c r="B13" s="26">
        <v>97429</v>
      </c>
      <c r="C13" s="27">
        <f t="shared" si="0"/>
        <v>58.521510314549587</v>
      </c>
      <c r="D13" s="7" t="e">
        <v>#N/A</v>
      </c>
      <c r="E13" s="8" t="e">
        <v>#N/A</v>
      </c>
      <c r="F13" s="12">
        <v>1.09041361871248</v>
      </c>
      <c r="G13" s="13">
        <v>0</v>
      </c>
      <c r="H13" s="18">
        <v>39.201327058063903</v>
      </c>
      <c r="I13" s="19">
        <f t="shared" si="1"/>
        <v>53.669093369954069</v>
      </c>
      <c r="J13" s="20">
        <f t="shared" si="3"/>
        <v>39.201327058063903</v>
      </c>
      <c r="K13" s="17">
        <f t="shared" si="6"/>
        <v>40.020954296877463</v>
      </c>
      <c r="L13" s="43">
        <f t="shared" si="4"/>
        <v>-6.4053049315705518E-2</v>
      </c>
      <c r="M13" s="16">
        <v>51.023934728599059</v>
      </c>
      <c r="N13" s="25"/>
      <c r="O13" s="48"/>
      <c r="P13" s="49"/>
      <c r="Q13" s="55"/>
      <c r="R13" s="56"/>
      <c r="S13" s="63"/>
      <c r="T13" s="64"/>
      <c r="U13" s="72"/>
      <c r="V13" s="73"/>
      <c r="W13" s="74"/>
      <c r="X13" s="86"/>
      <c r="Y13" s="87"/>
      <c r="Z13" s="88"/>
      <c r="AA13" s="25"/>
    </row>
    <row r="14" spans="1:27" x14ac:dyDescent="0.2">
      <c r="A14" s="4">
        <f t="shared" si="2"/>
        <v>39753</v>
      </c>
      <c r="B14" s="26">
        <v>79530</v>
      </c>
      <c r="C14" s="27">
        <f t="shared" si="0"/>
        <v>47.770332399143257</v>
      </c>
      <c r="D14" s="7" t="e">
        <v>#N/A</v>
      </c>
      <c r="E14" s="8" t="e">
        <v>#N/A</v>
      </c>
      <c r="F14" s="12">
        <v>0.99967446463448795</v>
      </c>
      <c r="G14" s="13">
        <v>0</v>
      </c>
      <c r="H14" s="18">
        <v>37.6988361685992</v>
      </c>
      <c r="I14" s="19">
        <f t="shared" si="1"/>
        <v>47.785888395788497</v>
      </c>
      <c r="J14" s="20">
        <f t="shared" si="3"/>
        <v>37.6988361685992</v>
      </c>
      <c r="K14" s="17">
        <f t="shared" si="6"/>
        <v>37.781801125386075</v>
      </c>
      <c r="L14" s="43">
        <f t="shared" si="4"/>
        <v>-5.7575639389383156E-2</v>
      </c>
      <c r="M14" s="16">
        <v>52.899046287854539</v>
      </c>
      <c r="N14" s="25"/>
      <c r="O14" s="48"/>
      <c r="P14" s="49"/>
      <c r="Q14" s="55"/>
      <c r="R14" s="56"/>
      <c r="S14" s="63"/>
      <c r="T14" s="64"/>
      <c r="U14" s="72"/>
      <c r="V14" s="73"/>
      <c r="W14" s="74"/>
      <c r="X14" s="86"/>
      <c r="Y14" s="87"/>
      <c r="Z14" s="88"/>
      <c r="AA14" s="25"/>
    </row>
    <row r="15" spans="1:27" x14ac:dyDescent="0.2">
      <c r="A15" s="4">
        <f t="shared" si="2"/>
        <v>39783</v>
      </c>
      <c r="B15" s="26">
        <v>13119</v>
      </c>
      <c r="C15" s="27">
        <f t="shared" si="0"/>
        <v>7.8800325756866645</v>
      </c>
      <c r="D15" s="7" t="e">
        <v>#N/A</v>
      </c>
      <c r="E15" s="8" t="e">
        <v>#N/A</v>
      </c>
      <c r="F15" s="12">
        <v>0.84694417490080098</v>
      </c>
      <c r="G15" s="13">
        <v>0</v>
      </c>
      <c r="H15" s="18">
        <v>36.528205106282002</v>
      </c>
      <c r="I15" s="19">
        <f t="shared" si="1"/>
        <v>9.3040755332069196</v>
      </c>
      <c r="J15" s="20">
        <f t="shared" si="3"/>
        <v>36.528205106282002</v>
      </c>
      <c r="K15" s="17">
        <f t="shared" si="6"/>
        <v>36.879981000522825</v>
      </c>
      <c r="L15" s="43">
        <f t="shared" si="4"/>
        <v>-2.415865146303672E-2</v>
      </c>
      <c r="M15" s="16">
        <v>54.77089279731922</v>
      </c>
      <c r="N15" s="25"/>
      <c r="O15" s="48"/>
      <c r="P15" s="49"/>
      <c r="Q15" s="55"/>
      <c r="R15" s="56"/>
      <c r="S15" s="63"/>
      <c r="T15" s="64"/>
      <c r="U15" s="72"/>
      <c r="V15" s="73"/>
      <c r="W15" s="74"/>
      <c r="X15" s="86"/>
      <c r="Y15" s="87"/>
      <c r="Z15" s="88"/>
      <c r="AA15" s="25"/>
    </row>
    <row r="16" spans="1:27" x14ac:dyDescent="0.2">
      <c r="A16" s="4">
        <f t="shared" si="2"/>
        <v>39814</v>
      </c>
      <c r="B16" s="26">
        <v>18355</v>
      </c>
      <c r="C16" s="27">
        <f t="shared" si="0"/>
        <v>11.025077972919332</v>
      </c>
      <c r="D16" s="7" t="e">
        <v>#N/A</v>
      </c>
      <c r="E16" s="8" t="e">
        <v>#N/A</v>
      </c>
      <c r="F16" s="12">
        <v>0.90655100046685499</v>
      </c>
      <c r="G16" s="13">
        <v>0</v>
      </c>
      <c r="H16" s="18">
        <v>36.764677620928097</v>
      </c>
      <c r="I16" s="19">
        <f t="shared" si="1"/>
        <v>12.161563957506688</v>
      </c>
      <c r="J16" s="20">
        <f t="shared" si="3"/>
        <v>36.764677620928097</v>
      </c>
      <c r="K16" s="17">
        <f t="shared" si="6"/>
        <v>36.961898454305171</v>
      </c>
      <c r="L16" s="43">
        <f t="shared" si="4"/>
        <v>2.2187270419458728E-3</v>
      </c>
      <c r="M16" s="16">
        <v>56.638715347296291</v>
      </c>
      <c r="N16" s="45">
        <f t="shared" ref="N16:N79" si="7">(K16/K4)-1</f>
        <v>0.17301461531406903</v>
      </c>
      <c r="O16" s="48"/>
      <c r="P16" s="49"/>
      <c r="Q16" s="55"/>
      <c r="R16" s="56"/>
      <c r="S16" s="63"/>
      <c r="T16" s="64"/>
      <c r="U16" s="72"/>
      <c r="V16" s="73"/>
      <c r="W16" s="74"/>
      <c r="X16" s="86"/>
      <c r="Y16" s="87"/>
      <c r="Z16" s="88"/>
      <c r="AA16" s="25"/>
    </row>
    <row r="17" spans="1:27" x14ac:dyDescent="0.2">
      <c r="A17" s="4">
        <f t="shared" si="2"/>
        <v>39845</v>
      </c>
      <c r="B17" s="26">
        <v>47673</v>
      </c>
      <c r="C17" s="27">
        <f t="shared" si="0"/>
        <v>28.635169828547173</v>
      </c>
      <c r="D17" s="7" t="e">
        <v>#N/A</v>
      </c>
      <c r="E17" s="8" t="e">
        <v>#N/A</v>
      </c>
      <c r="F17" s="12">
        <v>0.757743965799203</v>
      </c>
      <c r="G17" s="13">
        <v>1</v>
      </c>
      <c r="H17" s="18">
        <v>39.095926156737498</v>
      </c>
      <c r="I17" s="19">
        <f t="shared" si="1"/>
        <v>37.790033469082481</v>
      </c>
      <c r="J17" s="20">
        <f t="shared" si="3"/>
        <v>37.790033469082481</v>
      </c>
      <c r="K17" s="17">
        <f t="shared" si="6"/>
        <v>38.854161814222266</v>
      </c>
      <c r="L17" s="43">
        <f t="shared" si="4"/>
        <v>4.9927585721366782E-2</v>
      </c>
      <c r="M17" s="16">
        <v>58.501616980929548</v>
      </c>
      <c r="N17" s="45">
        <f t="shared" si="7"/>
        <v>0.24869372023241088</v>
      </c>
      <c r="O17" s="48"/>
      <c r="P17" s="49"/>
      <c r="Q17" s="55"/>
      <c r="R17" s="56"/>
      <c r="S17" s="63"/>
      <c r="T17" s="64"/>
      <c r="U17" s="72"/>
      <c r="V17" s="73"/>
      <c r="W17" s="74"/>
      <c r="X17" s="86"/>
      <c r="Y17" s="87"/>
      <c r="Z17" s="88"/>
      <c r="AA17" s="25"/>
    </row>
    <row r="18" spans="1:27" x14ac:dyDescent="0.2">
      <c r="A18" s="4">
        <f t="shared" si="2"/>
        <v>39873</v>
      </c>
      <c r="B18" s="26">
        <v>76655</v>
      </c>
      <c r="C18" s="27">
        <f t="shared" si="0"/>
        <v>46.043440589165428</v>
      </c>
      <c r="D18" s="7" t="e">
        <v>#N/A</v>
      </c>
      <c r="E18" s="8" t="e">
        <v>#N/A</v>
      </c>
      <c r="F18" s="100">
        <v>0.81642701529649597</v>
      </c>
      <c r="G18" s="13">
        <v>0</v>
      </c>
      <c r="H18" s="18">
        <v>43.071902697795998</v>
      </c>
      <c r="I18" s="19">
        <f t="shared" si="1"/>
        <v>56.396272693700809</v>
      </c>
      <c r="J18" s="20">
        <f t="shared" si="3"/>
        <v>43.071902697795998</v>
      </c>
      <c r="K18" s="17">
        <f t="shared" si="6"/>
        <v>43.462921172012258</v>
      </c>
      <c r="L18" s="43">
        <f t="shared" si="4"/>
        <v>0.11209299147473681</v>
      </c>
      <c r="M18" s="16">
        <v>60.358548914072358</v>
      </c>
      <c r="N18" s="45">
        <f t="shared" si="7"/>
        <v>0.44269835344954545</v>
      </c>
      <c r="O18" s="48"/>
      <c r="P18" s="49"/>
      <c r="Q18" s="55"/>
      <c r="R18" s="56"/>
      <c r="S18" s="63"/>
      <c r="T18" s="64"/>
      <c r="U18" s="72"/>
      <c r="V18" s="73"/>
      <c r="W18" s="74"/>
      <c r="X18" s="86"/>
      <c r="Y18" s="87"/>
      <c r="Z18" s="88"/>
      <c r="AA18" s="25"/>
    </row>
    <row r="19" spans="1:27" x14ac:dyDescent="0.2">
      <c r="A19" s="4">
        <f t="shared" si="2"/>
        <v>39904</v>
      </c>
      <c r="B19" s="26">
        <v>80577</v>
      </c>
      <c r="C19" s="27">
        <f t="shared" si="0"/>
        <v>48.39922134698562</v>
      </c>
      <c r="D19" s="7" t="e">
        <v>#N/A</v>
      </c>
      <c r="E19" s="8" t="e">
        <v>#N/A</v>
      </c>
      <c r="F19" s="100">
        <v>0.96957752380256301</v>
      </c>
      <c r="G19" s="13">
        <v>1</v>
      </c>
      <c r="H19" s="18">
        <v>47.953029304939101</v>
      </c>
      <c r="I19" s="19">
        <f t="shared" si="1"/>
        <v>49.917845823374563</v>
      </c>
      <c r="J19" s="20">
        <f t="shared" si="3"/>
        <v>49.917845823374563</v>
      </c>
      <c r="K19" s="17">
        <f t="shared" si="6"/>
        <v>48.56899839413385</v>
      </c>
      <c r="L19" s="43">
        <f t="shared" si="4"/>
        <v>0.11107724648514372</v>
      </c>
      <c r="M19" s="16">
        <v>62.208310761842803</v>
      </c>
      <c r="N19" s="45">
        <f t="shared" si="7"/>
        <v>0.68807460232653561</v>
      </c>
      <c r="O19" s="48"/>
      <c r="P19" s="49"/>
      <c r="Q19" s="55"/>
      <c r="R19" s="56"/>
      <c r="S19" s="63"/>
      <c r="T19" s="64"/>
      <c r="U19" s="72"/>
      <c r="V19" s="73"/>
      <c r="W19" s="74"/>
      <c r="X19" s="86"/>
      <c r="Y19" s="87"/>
      <c r="Z19" s="88"/>
      <c r="AA19" s="25"/>
    </row>
    <row r="20" spans="1:27" x14ac:dyDescent="0.2">
      <c r="A20" s="4">
        <f t="shared" si="2"/>
        <v>39934</v>
      </c>
      <c r="B20" s="26">
        <v>90288</v>
      </c>
      <c r="C20" s="27">
        <f t="shared" si="0"/>
        <v>54.232211387575084</v>
      </c>
      <c r="D20" s="7" t="e">
        <v>#N/A</v>
      </c>
      <c r="E20" s="8" t="e">
        <v>#N/A</v>
      </c>
      <c r="F20" s="100">
        <v>1.0557504652354699</v>
      </c>
      <c r="G20" s="13">
        <v>1</v>
      </c>
      <c r="H20" s="18">
        <v>52.978210342578798</v>
      </c>
      <c r="I20" s="19">
        <f t="shared" si="1"/>
        <v>51.368399231990274</v>
      </c>
      <c r="J20" s="20">
        <f t="shared" si="3"/>
        <v>51.368399231990274</v>
      </c>
      <c r="K20" s="17">
        <f t="shared" si="6"/>
        <v>52.998503149850606</v>
      </c>
      <c r="L20" s="43">
        <f t="shared" si="4"/>
        <v>8.7278236456398983E-2</v>
      </c>
      <c r="M20" s="16">
        <v>64.049571771862816</v>
      </c>
      <c r="N20" s="45">
        <f t="shared" si="7"/>
        <v>0.83969915566389441</v>
      </c>
      <c r="O20" s="48"/>
      <c r="P20" s="49"/>
      <c r="Q20" s="55"/>
      <c r="R20" s="56"/>
      <c r="S20" s="63"/>
      <c r="T20" s="64"/>
      <c r="U20" s="72"/>
      <c r="V20" s="73"/>
      <c r="W20" s="74"/>
      <c r="X20" s="86"/>
      <c r="Y20" s="87"/>
      <c r="Z20" s="88"/>
      <c r="AA20" s="25"/>
    </row>
    <row r="21" spans="1:27" s="6" customFormat="1" x14ac:dyDescent="0.2">
      <c r="A21" s="5">
        <f t="shared" si="2"/>
        <v>39965</v>
      </c>
      <c r="B21" s="28">
        <v>103000</v>
      </c>
      <c r="C21" s="29">
        <f t="shared" si="0"/>
        <v>61.867776148770979</v>
      </c>
      <c r="D21" s="7" t="e">
        <v>#N/A</v>
      </c>
      <c r="E21" s="8" t="e">
        <v>#N/A</v>
      </c>
      <c r="F21" s="101">
        <v>1.04260928130255</v>
      </c>
      <c r="G21" s="14">
        <v>1</v>
      </c>
      <c r="H21" s="21">
        <v>57.793285532090799</v>
      </c>
      <c r="I21" s="22">
        <f t="shared" si="1"/>
        <v>59.339368312047327</v>
      </c>
      <c r="J21" s="23">
        <f t="shared" si="3"/>
        <v>59.339368312047327</v>
      </c>
      <c r="K21" s="17">
        <f t="shared" si="6"/>
        <v>58.539389328994062</v>
      </c>
      <c r="L21" s="44">
        <f t="shared" si="4"/>
        <v>9.9436178823845714E-2</v>
      </c>
      <c r="M21" s="16">
        <v>65.880895950144094</v>
      </c>
      <c r="N21" s="45">
        <f t="shared" si="7"/>
        <v>0.8847081856163761</v>
      </c>
      <c r="O21" s="46"/>
      <c r="P21" s="47"/>
      <c r="Q21" s="53"/>
      <c r="R21" s="54"/>
      <c r="S21" s="61"/>
      <c r="T21" s="62"/>
      <c r="U21" s="69"/>
      <c r="V21" s="70"/>
      <c r="W21" s="71"/>
      <c r="X21" s="84"/>
      <c r="Y21" s="15"/>
      <c r="Z21" s="85"/>
      <c r="AA21" s="24"/>
    </row>
    <row r="22" spans="1:27" x14ac:dyDescent="0.2">
      <c r="A22" s="4">
        <f t="shared" si="2"/>
        <v>39995</v>
      </c>
      <c r="B22" s="26">
        <v>125872</v>
      </c>
      <c r="C22" s="27">
        <f t="shared" si="0"/>
        <v>75.606026401923302</v>
      </c>
      <c r="D22" s="7" t="e">
        <v>#N/A</v>
      </c>
      <c r="E22" s="8" t="e">
        <v>#N/A</v>
      </c>
      <c r="F22" s="100">
        <v>1.17930945827932</v>
      </c>
      <c r="G22" s="13">
        <v>1</v>
      </c>
      <c r="H22" s="18">
        <v>62.061887313684799</v>
      </c>
      <c r="I22" s="19">
        <f t="shared" si="1"/>
        <v>64.110421459891299</v>
      </c>
      <c r="J22" s="20">
        <f t="shared" si="3"/>
        <v>64.110421459891299</v>
      </c>
      <c r="K22" s="17">
        <f t="shared" si="6"/>
        <v>62.556745183228898</v>
      </c>
      <c r="L22" s="43">
        <f t="shared" si="4"/>
        <v>6.6374218239804772E-2</v>
      </c>
      <c r="M22" s="16">
        <v>67.70076203210931</v>
      </c>
      <c r="N22" s="45">
        <f t="shared" si="7"/>
        <v>0.71842890260068559</v>
      </c>
      <c r="O22" s="48"/>
      <c r="P22" s="49"/>
      <c r="Q22" s="55"/>
      <c r="R22" s="56"/>
      <c r="S22" s="63"/>
      <c r="T22" s="64"/>
      <c r="U22" s="72"/>
      <c r="V22" s="73"/>
      <c r="W22" s="74"/>
      <c r="X22" s="86"/>
      <c r="Y22" s="87"/>
      <c r="Z22" s="88"/>
      <c r="AA22" s="25"/>
    </row>
    <row r="23" spans="1:27" x14ac:dyDescent="0.2">
      <c r="A23" s="4">
        <f t="shared" si="2"/>
        <v>40026</v>
      </c>
      <c r="B23" s="26">
        <v>123928</v>
      </c>
      <c r="C23" s="27">
        <f t="shared" si="0"/>
        <v>74.438347209367862</v>
      </c>
      <c r="D23" s="7" t="e">
        <v>#N/A</v>
      </c>
      <c r="E23" s="8" t="e">
        <v>#N/A</v>
      </c>
      <c r="F23" s="100">
        <v>1.1878440168848701</v>
      </c>
      <c r="G23" s="13">
        <v>1</v>
      </c>
      <c r="H23" s="18">
        <v>66.033382533002296</v>
      </c>
      <c r="I23" s="19">
        <f t="shared" si="1"/>
        <v>62.666769501085668</v>
      </c>
      <c r="J23" s="20">
        <f t="shared" si="3"/>
        <v>62.666769501085668</v>
      </c>
      <c r="K23" s="17">
        <f t="shared" si="6"/>
        <v>65.542772133708866</v>
      </c>
      <c r="L23" s="43">
        <f t="shared" si="4"/>
        <v>4.6628871436808945E-2</v>
      </c>
      <c r="M23" s="16">
        <v>69.507592105750973</v>
      </c>
      <c r="N23" s="45">
        <f t="shared" si="7"/>
        <v>0.56568682229337997</v>
      </c>
      <c r="O23" s="48"/>
      <c r="P23" s="49"/>
      <c r="Q23" s="55"/>
      <c r="R23" s="56"/>
      <c r="S23" s="63"/>
      <c r="T23" s="64"/>
      <c r="U23" s="72"/>
      <c r="V23" s="73"/>
      <c r="W23" s="74"/>
      <c r="X23" s="86"/>
      <c r="Y23" s="87"/>
      <c r="Z23" s="88"/>
      <c r="AA23" s="25"/>
    </row>
    <row r="24" spans="1:27" x14ac:dyDescent="0.2">
      <c r="A24" s="4">
        <f t="shared" si="2"/>
        <v>40057</v>
      </c>
      <c r="B24" s="26">
        <v>137501</v>
      </c>
      <c r="C24" s="27">
        <f t="shared" si="0"/>
        <v>82.591078526525806</v>
      </c>
      <c r="D24" s="7" t="e">
        <v>#N/A</v>
      </c>
      <c r="E24" s="8" t="e">
        <v>#N/A</v>
      </c>
      <c r="F24" s="100">
        <v>1.1356295885062699</v>
      </c>
      <c r="G24" s="13">
        <v>1</v>
      </c>
      <c r="H24" s="18">
        <v>70.292812364632496</v>
      </c>
      <c r="I24" s="19">
        <f t="shared" si="1"/>
        <v>72.727128072772828</v>
      </c>
      <c r="J24" s="20">
        <f t="shared" si="3"/>
        <v>72.727128072772828</v>
      </c>
      <c r="K24" s="17">
        <f t="shared" si="6"/>
        <v>69.957620748744063</v>
      </c>
      <c r="L24" s="43">
        <f t="shared" si="4"/>
        <v>6.5186701636764141E-2</v>
      </c>
      <c r="M24" s="16">
        <v>71.299768567577132</v>
      </c>
      <c r="N24" s="45">
        <f t="shared" si="7"/>
        <v>0.63956902415066397</v>
      </c>
      <c r="O24" s="48"/>
      <c r="P24" s="49"/>
      <c r="Q24" s="55"/>
      <c r="R24" s="56"/>
      <c r="S24" s="63"/>
      <c r="T24" s="64"/>
      <c r="U24" s="72"/>
      <c r="V24" s="73"/>
      <c r="W24" s="74"/>
      <c r="X24" s="86"/>
      <c r="Y24" s="87"/>
      <c r="Z24" s="88"/>
      <c r="AA24" s="25"/>
    </row>
    <row r="25" spans="1:27" x14ac:dyDescent="0.2">
      <c r="A25" s="4">
        <f t="shared" ref="A25:A88" si="8">EDATE(A24,1)</f>
        <v>40087</v>
      </c>
      <c r="B25" s="26">
        <v>130614</v>
      </c>
      <c r="C25" s="27">
        <f t="shared" si="0"/>
        <v>78.454346736850212</v>
      </c>
      <c r="D25" s="7" t="e">
        <v>#N/A</v>
      </c>
      <c r="E25" s="8" t="e">
        <v>#N/A</v>
      </c>
      <c r="F25" s="100">
        <v>1.09405857522726</v>
      </c>
      <c r="G25" s="13">
        <v>1</v>
      </c>
      <c r="H25" s="18">
        <v>74.767465806513997</v>
      </c>
      <c r="I25" s="19">
        <f t="shared" si="1"/>
        <v>71.709457348344912</v>
      </c>
      <c r="J25" s="20">
        <f t="shared" si="3"/>
        <v>71.709457348344912</v>
      </c>
      <c r="K25" s="17">
        <f t="shared" si="6"/>
        <v>73.911668696281538</v>
      </c>
      <c r="L25" s="43">
        <f t="shared" si="4"/>
        <v>5.4981073115819991E-2</v>
      </c>
      <c r="M25" s="16">
        <v>73.07564322134634</v>
      </c>
      <c r="N25" s="45">
        <f t="shared" si="7"/>
        <v>0.84682424481937746</v>
      </c>
      <c r="O25" s="48"/>
      <c r="P25" s="49"/>
      <c r="Q25" s="55"/>
      <c r="R25" s="56"/>
      <c r="S25" s="63"/>
      <c r="T25" s="64"/>
      <c r="U25" s="72"/>
      <c r="V25" s="73"/>
      <c r="W25" s="74"/>
      <c r="X25" s="86"/>
      <c r="Y25" s="87"/>
      <c r="Z25" s="88"/>
      <c r="AA25" s="25"/>
    </row>
    <row r="26" spans="1:27" x14ac:dyDescent="0.2">
      <c r="A26" s="4">
        <f t="shared" si="8"/>
        <v>40118</v>
      </c>
      <c r="B26" s="26">
        <v>131458</v>
      </c>
      <c r="C26" s="27">
        <f t="shared" si="0"/>
        <v>78.961302106457623</v>
      </c>
      <c r="D26" s="7" t="e">
        <v>#N/A</v>
      </c>
      <c r="E26" s="8" t="e">
        <v>#N/A</v>
      </c>
      <c r="F26" s="100">
        <v>0.99321602991659697</v>
      </c>
      <c r="G26" s="13">
        <v>1</v>
      </c>
      <c r="H26" s="18">
        <v>78.901801298364802</v>
      </c>
      <c r="I26" s="19">
        <f t="shared" si="1"/>
        <v>79.500632015663513</v>
      </c>
      <c r="J26" s="20">
        <f t="shared" si="3"/>
        <v>79.500632015663513</v>
      </c>
      <c r="K26" s="17">
        <f t="shared" si="6"/>
        <v>77.630265325394802</v>
      </c>
      <c r="L26" s="43">
        <f t="shared" si="4"/>
        <v>4.9086654281420797E-2</v>
      </c>
      <c r="M26" s="16">
        <v>74.833557514739681</v>
      </c>
      <c r="N26" s="45">
        <f t="shared" si="7"/>
        <v>1.0546999617028323</v>
      </c>
      <c r="O26" s="48"/>
      <c r="P26" s="49"/>
      <c r="Q26" s="55"/>
      <c r="R26" s="56"/>
      <c r="S26" s="63"/>
      <c r="T26" s="64"/>
      <c r="U26" s="72"/>
      <c r="V26" s="73"/>
      <c r="W26" s="74"/>
      <c r="X26" s="86"/>
      <c r="Y26" s="87"/>
      <c r="Z26" s="88"/>
      <c r="AA26" s="25"/>
    </row>
    <row r="27" spans="1:27" x14ac:dyDescent="0.2">
      <c r="A27" s="4">
        <f t="shared" si="8"/>
        <v>40148</v>
      </c>
      <c r="B27" s="26">
        <v>113182</v>
      </c>
      <c r="C27" s="27">
        <f t="shared" si="0"/>
        <v>67.983676117186377</v>
      </c>
      <c r="D27" s="7" t="e">
        <v>#N/A</v>
      </c>
      <c r="E27" s="8" t="e">
        <v>#N/A</v>
      </c>
      <c r="F27" s="100">
        <v>0.85181539364081105</v>
      </c>
      <c r="G27" s="13">
        <v>1</v>
      </c>
      <c r="H27" s="18">
        <v>82.220901189150993</v>
      </c>
      <c r="I27" s="19">
        <f t="shared" si="1"/>
        <v>79.810339921907271</v>
      </c>
      <c r="J27" s="20">
        <f t="shared" si="3"/>
        <v>79.810339921907271</v>
      </c>
      <c r="K27" s="17">
        <f t="shared" si="6"/>
        <v>82.731532830606113</v>
      </c>
      <c r="L27" s="43">
        <f t="shared" si="4"/>
        <v>6.3643452909132162E-2</v>
      </c>
      <c r="M27" s="16">
        <v>76.571859346252396</v>
      </c>
      <c r="N27" s="45">
        <f t="shared" si="7"/>
        <v>1.2432639764492635</v>
      </c>
      <c r="O27" s="97"/>
      <c r="P27" s="50"/>
      <c r="Q27" s="57"/>
      <c r="R27" s="58"/>
      <c r="S27" s="65"/>
      <c r="T27" s="66"/>
      <c r="U27" s="75"/>
      <c r="V27" s="76"/>
      <c r="W27" s="77"/>
      <c r="X27" s="89"/>
      <c r="Y27" s="90"/>
      <c r="Z27" s="91"/>
      <c r="AA27" s="94"/>
    </row>
    <row r="28" spans="1:27" x14ac:dyDescent="0.2">
      <c r="A28" s="4">
        <f t="shared" si="8"/>
        <v>40179</v>
      </c>
      <c r="B28" s="26">
        <v>140247</v>
      </c>
      <c r="C28" s="27">
        <f t="shared" si="0"/>
        <v>84.240485451812461</v>
      </c>
      <c r="D28" s="7" t="e">
        <v>#N/A</v>
      </c>
      <c r="E28" s="8" t="e">
        <v>#N/A</v>
      </c>
      <c r="F28" s="100">
        <v>0.91760417312092202</v>
      </c>
      <c r="G28" s="13">
        <v>1</v>
      </c>
      <c r="H28" s="18">
        <v>84.743369055986093</v>
      </c>
      <c r="I28" s="19">
        <f t="shared" si="1"/>
        <v>91.804819462946398</v>
      </c>
      <c r="J28" s="20">
        <f t="shared" si="3"/>
        <v>91.804819462946398</v>
      </c>
      <c r="K28" s="17">
        <f t="shared" si="6"/>
        <v>88.056535390520878</v>
      </c>
      <c r="L28" s="43">
        <f t="shared" si="4"/>
        <v>6.2378234675391366E-2</v>
      </c>
      <c r="M28" s="16">
        <v>78.28891819391481</v>
      </c>
      <c r="N28" s="45">
        <f t="shared" si="7"/>
        <v>1.3823596479867613</v>
      </c>
      <c r="O28" s="51">
        <v>771</v>
      </c>
      <c r="P28" s="27">
        <f t="shared" ref="P28:P91" si="9">O28*P$2</f>
        <v>1.9585926584529403</v>
      </c>
      <c r="Q28" s="7" t="e">
        <v>#N/A</v>
      </c>
      <c r="R28" s="59" t="e">
        <v>#N/A</v>
      </c>
      <c r="S28" s="98">
        <v>-12.7932298785888</v>
      </c>
      <c r="T28" s="67">
        <v>0.45959550474581101</v>
      </c>
      <c r="U28" s="80">
        <v>29.172980003439601</v>
      </c>
      <c r="V28" s="78">
        <f t="shared" ref="V28:V91" si="10">IFERROR(IF($S$2="NIV",P28-S28,P28/S28),NA())</f>
        <v>14.75182253704174</v>
      </c>
      <c r="W28" s="79">
        <f t="shared" ref="W28:W91" si="11">V28*T28+(1-T28)*U28</f>
        <v>22.545080858651655</v>
      </c>
      <c r="X28" s="17">
        <f>(2*W28+W29)/3</f>
        <v>26.345474184628596</v>
      </c>
      <c r="Y28" s="92"/>
      <c r="Z28" s="93">
        <v>3.5700655646763231</v>
      </c>
      <c r="AA28" s="25"/>
    </row>
    <row r="29" spans="1:27" x14ac:dyDescent="0.2">
      <c r="A29" s="4">
        <f t="shared" si="8"/>
        <v>40210</v>
      </c>
      <c r="B29" s="26">
        <v>112508</v>
      </c>
      <c r="C29" s="27">
        <f t="shared" si="0"/>
        <v>67.578832611125492</v>
      </c>
      <c r="D29" s="7" t="e">
        <v>#N/A</v>
      </c>
      <c r="E29" s="8" t="e">
        <v>#N/A</v>
      </c>
      <c r="F29" s="100">
        <v>0.76097007849046705</v>
      </c>
      <c r="G29" s="13">
        <v>1</v>
      </c>
      <c r="H29" s="18">
        <v>86.452050961584305</v>
      </c>
      <c r="I29" s="19">
        <f t="shared" si="1"/>
        <v>88.806162714283488</v>
      </c>
      <c r="J29" s="20">
        <f t="shared" si="3"/>
        <v>88.806162714283488</v>
      </c>
      <c r="K29" s="17">
        <f t="shared" si="6"/>
        <v>87.181659985009361</v>
      </c>
      <c r="L29" s="43">
        <f t="shared" si="4"/>
        <v>-9.9850682951501818E-3</v>
      </c>
      <c r="M29" s="16">
        <v>79.983151064100397</v>
      </c>
      <c r="N29" s="45">
        <f t="shared" si="7"/>
        <v>1.2438178026297608</v>
      </c>
      <c r="O29" s="51">
        <v>4791</v>
      </c>
      <c r="P29" s="27">
        <f t="shared" si="9"/>
        <v>12.170710021592786</v>
      </c>
      <c r="Q29" s="7" t="e">
        <v>#N/A</v>
      </c>
      <c r="R29" s="59" t="e">
        <v>#N/A</v>
      </c>
      <c r="S29" s="98">
        <v>-21.7755508149897</v>
      </c>
      <c r="T29" s="67">
        <v>1</v>
      </c>
      <c r="U29" s="80">
        <v>29.443398130328401</v>
      </c>
      <c r="V29" s="78">
        <f t="shared" si="10"/>
        <v>33.946260836582482</v>
      </c>
      <c r="W29" s="79">
        <f t="shared" si="11"/>
        <v>33.946260836582482</v>
      </c>
      <c r="X29" s="17">
        <f t="shared" ref="X29:X92" si="12">IFERROR((W28+2*W29+W30)/4,(W28+W29*2)/3)</f>
        <v>30.196783469878959</v>
      </c>
      <c r="Y29" s="43">
        <f>LN(X29/X28)</f>
        <v>0.13643890855235868</v>
      </c>
      <c r="Z29" s="16">
        <v>5.7847878078647987</v>
      </c>
      <c r="AA29" s="25"/>
    </row>
    <row r="30" spans="1:27" x14ac:dyDescent="0.2">
      <c r="A30" s="4">
        <f t="shared" si="8"/>
        <v>40238</v>
      </c>
      <c r="B30" s="26">
        <v>107929</v>
      </c>
      <c r="C30" s="27">
        <f t="shared" si="0"/>
        <v>64.82841953359906</v>
      </c>
      <c r="D30" s="7" t="e">
        <v>#N/A</v>
      </c>
      <c r="E30" s="8" t="e">
        <v>#N/A</v>
      </c>
      <c r="F30" s="100">
        <v>0.81741056974243698</v>
      </c>
      <c r="G30" s="13">
        <v>1</v>
      </c>
      <c r="H30" s="18">
        <v>87.475139709157304</v>
      </c>
      <c r="I30" s="19">
        <f t="shared" si="1"/>
        <v>79.309495048524084</v>
      </c>
      <c r="J30" s="20">
        <f t="shared" si="3"/>
        <v>79.309495048524084</v>
      </c>
      <c r="K30" s="17">
        <f t="shared" si="6"/>
        <v>83.483341342708883</v>
      </c>
      <c r="L30" s="43">
        <f t="shared" si="4"/>
        <v>-4.3346880446158545E-2</v>
      </c>
      <c r="M30" s="16">
        <v>81.653050330598631</v>
      </c>
      <c r="N30" s="45">
        <f t="shared" si="7"/>
        <v>0.92079453224758367</v>
      </c>
      <c r="O30" s="51">
        <v>4445</v>
      </c>
      <c r="P30" s="27">
        <f t="shared" si="9"/>
        <v>11.291756636606122</v>
      </c>
      <c r="Q30" s="7" t="e">
        <v>#N/A</v>
      </c>
      <c r="R30" s="59" t="e">
        <v>#N/A</v>
      </c>
      <c r="S30" s="98">
        <v>-19.057774711093099</v>
      </c>
      <c r="T30" s="67">
        <v>1</v>
      </c>
      <c r="U30" s="80">
        <v>29.474149529113099</v>
      </c>
      <c r="V30" s="78">
        <f t="shared" si="10"/>
        <v>30.349531347699219</v>
      </c>
      <c r="W30" s="79">
        <f t="shared" si="11"/>
        <v>30.349531347699219</v>
      </c>
      <c r="X30" s="17">
        <f t="shared" si="12"/>
        <v>31.101113187368576</v>
      </c>
      <c r="Y30" s="43">
        <f t="shared" ref="Y30:Y93" si="13">LN(X30/X29)</f>
        <v>2.9508201262086458E-2</v>
      </c>
      <c r="Z30" s="16">
        <v>7.9996857872308702</v>
      </c>
      <c r="AA30" s="25"/>
    </row>
    <row r="31" spans="1:27" x14ac:dyDescent="0.2">
      <c r="A31" s="4">
        <f t="shared" si="8"/>
        <v>40269</v>
      </c>
      <c r="B31" s="26">
        <v>141733</v>
      </c>
      <c r="C31" s="27">
        <f t="shared" si="0"/>
        <v>85.133063270813167</v>
      </c>
      <c r="D31" s="7" t="e">
        <v>#N/A</v>
      </c>
      <c r="E31" s="8" t="e">
        <v>#N/A</v>
      </c>
      <c r="F31" s="100">
        <v>0.98410382959022702</v>
      </c>
      <c r="G31" s="13">
        <v>1</v>
      </c>
      <c r="H31" s="18">
        <v>87.753194757428105</v>
      </c>
      <c r="I31" s="19">
        <f t="shared" si="1"/>
        <v>86.508212559503903</v>
      </c>
      <c r="J31" s="20">
        <f t="shared" si="3"/>
        <v>86.508212559503903</v>
      </c>
      <c r="K31" s="17">
        <f t="shared" si="6"/>
        <v>85.903450689771162</v>
      </c>
      <c r="L31" s="43">
        <f t="shared" si="4"/>
        <v>2.8576892118191387E-2</v>
      </c>
      <c r="M31" s="16">
        <v>83.297163911254643</v>
      </c>
      <c r="N31" s="45">
        <f t="shared" si="7"/>
        <v>0.76868894830136258</v>
      </c>
      <c r="O31" s="51">
        <v>4549</v>
      </c>
      <c r="P31" s="27">
        <f t="shared" si="9"/>
        <v>11.555950717642576</v>
      </c>
      <c r="Q31" s="7" t="e">
        <v>#N/A</v>
      </c>
      <c r="R31" s="59" t="e">
        <v>#N/A</v>
      </c>
      <c r="S31" s="98">
        <v>-18.2031784998508</v>
      </c>
      <c r="T31" s="67">
        <v>1</v>
      </c>
      <c r="U31" s="80">
        <v>28.734176837145199</v>
      </c>
      <c r="V31" s="78">
        <f t="shared" si="10"/>
        <v>29.759129217493374</v>
      </c>
      <c r="W31" s="79">
        <f t="shared" si="11"/>
        <v>29.759129217493374</v>
      </c>
      <c r="X31" s="17">
        <f t="shared" si="12"/>
        <v>30.314860148024774</v>
      </c>
      <c r="Y31" s="43">
        <f t="shared" si="13"/>
        <v>-2.5605586130547933E-2</v>
      </c>
      <c r="Z31" s="16">
        <v>10.215123603116361</v>
      </c>
      <c r="AA31" s="25"/>
    </row>
    <row r="32" spans="1:27" x14ac:dyDescent="0.2">
      <c r="A32" s="4">
        <f t="shared" si="8"/>
        <v>40299</v>
      </c>
      <c r="B32" s="26">
        <v>159105</v>
      </c>
      <c r="C32" s="27">
        <f t="shared" si="0"/>
        <v>95.567694409225297</v>
      </c>
      <c r="D32" s="7" t="e">
        <v>#N/A</v>
      </c>
      <c r="E32" s="8" t="e">
        <v>#N/A</v>
      </c>
      <c r="F32" s="100">
        <v>1.04688258393309</v>
      </c>
      <c r="G32" s="13">
        <v>1</v>
      </c>
      <c r="H32" s="18">
        <v>87.250619404998602</v>
      </c>
      <c r="I32" s="19">
        <f t="shared" si="1"/>
        <v>91.287882591552759</v>
      </c>
      <c r="J32" s="20">
        <f t="shared" si="3"/>
        <v>91.287882591552759</v>
      </c>
      <c r="K32" s="17">
        <f t="shared" si="6"/>
        <v>90.361304901871989</v>
      </c>
      <c r="L32" s="43">
        <f t="shared" si="4"/>
        <v>5.0592133447120623E-2</v>
      </c>
      <c r="M32" s="16">
        <v>84.914053846524169</v>
      </c>
      <c r="N32" s="45">
        <f t="shared" si="7"/>
        <v>0.70497843394519921</v>
      </c>
      <c r="O32" s="51">
        <v>5210</v>
      </c>
      <c r="P32" s="27">
        <f t="shared" si="9"/>
        <v>13.235107328845421</v>
      </c>
      <c r="Q32" s="7" t="e">
        <v>#N/A</v>
      </c>
      <c r="R32" s="59" t="e">
        <v>#N/A</v>
      </c>
      <c r="S32" s="98">
        <v>-18.156543480567699</v>
      </c>
      <c r="T32" s="67">
        <v>1</v>
      </c>
      <c r="U32" s="80">
        <v>27.128818424445001</v>
      </c>
      <c r="V32" s="78">
        <f t="shared" si="10"/>
        <v>31.391650809413122</v>
      </c>
      <c r="W32" s="79">
        <f t="shared" si="11"/>
        <v>31.391650809413122</v>
      </c>
      <c r="X32" s="17">
        <f t="shared" si="12"/>
        <v>28.889487207004812</v>
      </c>
      <c r="Y32" s="43">
        <f t="shared" si="13"/>
        <v>-4.8160261743577612E-2</v>
      </c>
      <c r="Z32" s="16">
        <v>12.431643607617501</v>
      </c>
      <c r="AA32" s="25"/>
    </row>
    <row r="33" spans="1:27" x14ac:dyDescent="0.2">
      <c r="A33" s="4">
        <f t="shared" si="8"/>
        <v>40330</v>
      </c>
      <c r="B33" s="26">
        <v>160019</v>
      </c>
      <c r="C33" s="27">
        <f t="shared" si="0"/>
        <v>96.116695840293033</v>
      </c>
      <c r="D33" s="7" t="e">
        <v>#N/A</v>
      </c>
      <c r="E33" s="8" t="e">
        <v>#N/A</v>
      </c>
      <c r="F33" s="100">
        <v>1.04066049675803</v>
      </c>
      <c r="G33" s="13">
        <v>1</v>
      </c>
      <c r="H33" s="18">
        <v>86.686596530124305</v>
      </c>
      <c r="I33" s="19">
        <f t="shared" si="1"/>
        <v>92.361241864878522</v>
      </c>
      <c r="J33" s="20">
        <f t="shared" si="3"/>
        <v>92.361241864878522</v>
      </c>
      <c r="K33" s="17">
        <f t="shared" si="6"/>
        <v>90.181299264409375</v>
      </c>
      <c r="L33" s="43">
        <f t="shared" si="4"/>
        <v>-1.9940522951840947E-3</v>
      </c>
      <c r="M33" s="16">
        <v>86.502302287100449</v>
      </c>
      <c r="N33" s="45">
        <f t="shared" si="7"/>
        <v>0.54052340309849023</v>
      </c>
      <c r="O33" s="51">
        <v>12069</v>
      </c>
      <c r="P33" s="27">
        <f t="shared" si="9"/>
        <v>30.659215038739998</v>
      </c>
      <c r="Q33" s="7" t="e">
        <v>#N/A</v>
      </c>
      <c r="R33" s="59" t="e">
        <v>#N/A</v>
      </c>
      <c r="S33" s="98">
        <v>7.64369704704038</v>
      </c>
      <c r="T33" s="67">
        <v>1</v>
      </c>
      <c r="U33" s="80">
        <v>25.497834178607398</v>
      </c>
      <c r="V33" s="78">
        <f t="shared" si="10"/>
        <v>23.015517991699618</v>
      </c>
      <c r="W33" s="79">
        <f t="shared" si="11"/>
        <v>23.015517991699618</v>
      </c>
      <c r="X33" s="17">
        <f t="shared" si="12"/>
        <v>23.993515161339968</v>
      </c>
      <c r="Y33" s="43">
        <f t="shared" si="13"/>
        <v>-0.18569417225046472</v>
      </c>
      <c r="Z33" s="16">
        <v>14.649943243390389</v>
      </c>
      <c r="AA33" s="25"/>
    </row>
    <row r="34" spans="1:27" x14ac:dyDescent="0.2">
      <c r="A34" s="4">
        <f t="shared" si="8"/>
        <v>40360</v>
      </c>
      <c r="B34" s="26">
        <v>165098</v>
      </c>
      <c r="C34" s="27">
        <f t="shared" si="0"/>
        <v>99.167437928250393</v>
      </c>
      <c r="D34" s="7" t="e">
        <v>#N/A</v>
      </c>
      <c r="E34" s="8" t="e">
        <v>#N/A</v>
      </c>
      <c r="F34" s="100">
        <v>1.17060303451359</v>
      </c>
      <c r="G34" s="13">
        <v>1</v>
      </c>
      <c r="H34" s="18">
        <v>87.038335416708804</v>
      </c>
      <c r="I34" s="19">
        <f t="shared" si="1"/>
        <v>84.714830736327741</v>
      </c>
      <c r="J34" s="20">
        <f t="shared" si="3"/>
        <v>84.714830736327741</v>
      </c>
      <c r="K34" s="17">
        <f t="shared" si="6"/>
        <v>86.590478913948914</v>
      </c>
      <c r="L34" s="43">
        <f t="shared" si="4"/>
        <v>-4.0632214078208731E-2</v>
      </c>
      <c r="M34" s="16">
        <v>88.060533414940565</v>
      </c>
      <c r="N34" s="45">
        <f t="shared" si="7"/>
        <v>0.38419092394153709</v>
      </c>
      <c r="O34" s="51">
        <v>14575</v>
      </c>
      <c r="P34" s="27">
        <f t="shared" si="9"/>
        <v>37.025276260637618</v>
      </c>
      <c r="Q34" s="7" t="e">
        <v>#N/A</v>
      </c>
      <c r="R34" s="59" t="e">
        <v>#N/A</v>
      </c>
      <c r="S34" s="98">
        <v>18.473902408090101</v>
      </c>
      <c r="T34" s="67">
        <v>1</v>
      </c>
      <c r="U34" s="80">
        <v>24.58192567044</v>
      </c>
      <c r="V34" s="78">
        <f t="shared" si="10"/>
        <v>18.551373852547517</v>
      </c>
      <c r="W34" s="79">
        <f t="shared" si="11"/>
        <v>18.551373852547517</v>
      </c>
      <c r="X34" s="17">
        <f t="shared" si="12"/>
        <v>21.424327896680285</v>
      </c>
      <c r="Y34" s="43">
        <f t="shared" si="13"/>
        <v>-0.11325649828421375</v>
      </c>
      <c r="Z34" s="16">
        <v>16.87084694262494</v>
      </c>
      <c r="AA34" s="25"/>
    </row>
    <row r="35" spans="1:27" x14ac:dyDescent="0.2">
      <c r="A35" s="4">
        <f t="shared" si="8"/>
        <v>40391</v>
      </c>
      <c r="B35" s="26">
        <v>164382</v>
      </c>
      <c r="C35" s="27">
        <f t="shared" si="0"/>
        <v>98.737366785313313</v>
      </c>
      <c r="D35" s="7" t="e">
        <v>#N/A</v>
      </c>
      <c r="E35" s="8" t="e">
        <v>#N/A</v>
      </c>
      <c r="F35" s="100">
        <v>1.1675083941734099</v>
      </c>
      <c r="G35" s="13">
        <v>1</v>
      </c>
      <c r="H35" s="18">
        <v>88.625255468226797</v>
      </c>
      <c r="I35" s="19">
        <f t="shared" si="1"/>
        <v>84.571012318261637</v>
      </c>
      <c r="J35" s="20">
        <f t="shared" si="3"/>
        <v>84.571012318261637</v>
      </c>
      <c r="K35" s="17">
        <f t="shared" si="6"/>
        <v>84.574051988602108</v>
      </c>
      <c r="L35" s="43">
        <f t="shared" si="4"/>
        <v>-2.3562360784169761E-2</v>
      </c>
      <c r="M35" s="16">
        <v>89.587399799320195</v>
      </c>
      <c r="N35" s="45">
        <f t="shared" si="7"/>
        <v>0.29036428023015204</v>
      </c>
      <c r="O35" s="51">
        <v>15258</v>
      </c>
      <c r="P35" s="27">
        <f t="shared" si="9"/>
        <v>38.760320081290487</v>
      </c>
      <c r="Q35" s="7" t="e">
        <v>#N/A</v>
      </c>
      <c r="R35" s="59" t="e">
        <v>#N/A</v>
      </c>
      <c r="S35" s="98">
        <v>13.181274191364</v>
      </c>
      <c r="T35" s="67">
        <v>1</v>
      </c>
      <c r="U35" s="80">
        <v>24.652120351859502</v>
      </c>
      <c r="V35" s="78">
        <f t="shared" si="10"/>
        <v>25.579045889926487</v>
      </c>
      <c r="W35" s="79">
        <f t="shared" si="11"/>
        <v>25.579045889926487</v>
      </c>
      <c r="X35" s="17">
        <f t="shared" si="12"/>
        <v>23.404985864780482</v>
      </c>
      <c r="Y35" s="43">
        <f t="shared" si="13"/>
        <v>8.8421976869823629E-2</v>
      </c>
      <c r="Z35" s="16">
        <v>19.09525123297362</v>
      </c>
      <c r="AA35" s="25"/>
    </row>
    <row r="36" spans="1:27" x14ac:dyDescent="0.2">
      <c r="A36" s="4">
        <f t="shared" si="8"/>
        <v>40422</v>
      </c>
      <c r="B36" s="26">
        <v>157835</v>
      </c>
      <c r="C36" s="27">
        <f t="shared" si="0"/>
        <v>94.804858722730742</v>
      </c>
      <c r="D36" s="7" t="e">
        <v>#N/A</v>
      </c>
      <c r="E36" s="8" t="e">
        <v>#N/A</v>
      </c>
      <c r="F36" s="100">
        <v>1.1227568168664199</v>
      </c>
      <c r="G36" s="13">
        <v>1</v>
      </c>
      <c r="H36" s="18">
        <v>91.018668772596996</v>
      </c>
      <c r="I36" s="19">
        <f t="shared" si="1"/>
        <v>84.439352581557429</v>
      </c>
      <c r="J36" s="20">
        <f t="shared" si="3"/>
        <v>84.439352581557429</v>
      </c>
      <c r="K36" s="17">
        <f t="shared" si="6"/>
        <v>87.65509746369203</v>
      </c>
      <c r="L36" s="43">
        <f t="shared" si="4"/>
        <v>3.5782261223256139E-2</v>
      </c>
      <c r="M36" s="16">
        <v>91.081542666498606</v>
      </c>
      <c r="N36" s="45">
        <f t="shared" si="7"/>
        <v>0.25297425106135685</v>
      </c>
      <c r="O36" s="51">
        <v>17729</v>
      </c>
      <c r="P36" s="27">
        <f t="shared" si="9"/>
        <v>45.037469833608533</v>
      </c>
      <c r="Q36" s="7" t="e">
        <v>#N/A</v>
      </c>
      <c r="R36" s="59" t="e">
        <v>#N/A</v>
      </c>
      <c r="S36" s="98">
        <v>21.1269920068871</v>
      </c>
      <c r="T36" s="67">
        <v>1</v>
      </c>
      <c r="U36" s="80">
        <v>25.7727833604118</v>
      </c>
      <c r="V36" s="78">
        <f t="shared" si="10"/>
        <v>23.910477826721433</v>
      </c>
      <c r="W36" s="79">
        <f t="shared" si="11"/>
        <v>23.910477826721433</v>
      </c>
      <c r="X36" s="17">
        <f t="shared" si="12"/>
        <v>26.586262466166044</v>
      </c>
      <c r="Y36" s="43">
        <f t="shared" si="13"/>
        <v>0.12744556293005832</v>
      </c>
      <c r="Z36" s="16">
        <v>21.324087776972672</v>
      </c>
      <c r="AA36" s="25"/>
    </row>
    <row r="37" spans="1:27" x14ac:dyDescent="0.2">
      <c r="A37" s="4">
        <f t="shared" si="8"/>
        <v>40452</v>
      </c>
      <c r="B37" s="26">
        <v>180593</v>
      </c>
      <c r="C37" s="27">
        <f t="shared" si="0"/>
        <v>108.47463396150482</v>
      </c>
      <c r="D37" s="7" t="e">
        <v>#N/A</v>
      </c>
      <c r="E37" s="8" t="e">
        <v>#N/A</v>
      </c>
      <c r="F37" s="100">
        <v>1.1163310010316301</v>
      </c>
      <c r="G37" s="13">
        <v>1</v>
      </c>
      <c r="H37" s="18">
        <v>94.411536791536804</v>
      </c>
      <c r="I37" s="19">
        <f t="shared" si="1"/>
        <v>97.170672373391611</v>
      </c>
      <c r="J37" s="20">
        <f t="shared" si="3"/>
        <v>97.170672373391611</v>
      </c>
      <c r="K37" s="17">
        <f t="shared" si="6"/>
        <v>96.273370258685759</v>
      </c>
      <c r="L37" s="43">
        <f t="shared" si="4"/>
        <v>9.3781984870948021E-2</v>
      </c>
      <c r="M37" s="16">
        <v>92.541564559502021</v>
      </c>
      <c r="N37" s="45">
        <f t="shared" si="7"/>
        <v>0.30254629555575474</v>
      </c>
      <c r="O37" s="51">
        <v>22145</v>
      </c>
      <c r="P37" s="27">
        <f t="shared" si="9"/>
        <v>56.255556966848722</v>
      </c>
      <c r="Q37" s="7" t="e">
        <v>#N/A</v>
      </c>
      <c r="R37" s="59" t="e">
        <v>#N/A</v>
      </c>
      <c r="S37" s="98">
        <v>23.310508645553899</v>
      </c>
      <c r="T37" s="67">
        <v>1</v>
      </c>
      <c r="U37" s="80">
        <v>27.268674726795499</v>
      </c>
      <c r="V37" s="78">
        <f t="shared" si="10"/>
        <v>32.94504832129482</v>
      </c>
      <c r="W37" s="79">
        <f t="shared" si="11"/>
        <v>32.94504832129482</v>
      </c>
      <c r="X37" s="17">
        <f t="shared" si="12"/>
        <v>30.732764902516923</v>
      </c>
      <c r="Y37" s="43">
        <f t="shared" si="13"/>
        <v>0.14493471240193681</v>
      </c>
      <c r="Z37" s="16">
        <v>23.55832149128474</v>
      </c>
      <c r="AA37" s="25"/>
    </row>
    <row r="38" spans="1:27" x14ac:dyDescent="0.2">
      <c r="A38" s="4">
        <f t="shared" si="8"/>
        <v>40483</v>
      </c>
      <c r="B38" s="26">
        <v>177578</v>
      </c>
      <c r="C38" s="27">
        <f t="shared" si="0"/>
        <v>106.66365002860633</v>
      </c>
      <c r="D38" s="7" t="e">
        <v>#N/A</v>
      </c>
      <c r="E38" s="8" t="e">
        <v>#N/A</v>
      </c>
      <c r="F38" s="100">
        <v>1.00330032109001</v>
      </c>
      <c r="G38" s="13">
        <v>1</v>
      </c>
      <c r="H38" s="18">
        <v>98.833280752656705</v>
      </c>
      <c r="I38" s="19">
        <f t="shared" si="1"/>
        <v>106.31278370640241</v>
      </c>
      <c r="J38" s="20">
        <f t="shared" si="3"/>
        <v>106.31278370640241</v>
      </c>
      <c r="K38" s="17">
        <f t="shared" si="6"/>
        <v>104.30262538291711</v>
      </c>
      <c r="L38" s="43">
        <f t="shared" si="4"/>
        <v>8.0104781569191E-2</v>
      </c>
      <c r="M38" s="16">
        <v>93.966041582731847</v>
      </c>
      <c r="N38" s="45">
        <f t="shared" si="7"/>
        <v>0.34358197728324802</v>
      </c>
      <c r="O38" s="51">
        <v>17654</v>
      </c>
      <c r="P38" s="27">
        <f t="shared" si="9"/>
        <v>44.846945255938017</v>
      </c>
      <c r="Q38" s="7" t="e">
        <v>#N/A</v>
      </c>
      <c r="R38" s="59" t="e">
        <v>#N/A</v>
      </c>
      <c r="S38" s="98">
        <v>11.7164601151814</v>
      </c>
      <c r="T38" s="67">
        <v>1</v>
      </c>
      <c r="U38" s="80">
        <v>28.7603459358299</v>
      </c>
      <c r="V38" s="78">
        <f t="shared" si="10"/>
        <v>33.130485140756619</v>
      </c>
      <c r="W38" s="79">
        <f t="shared" si="11"/>
        <v>33.130485140756619</v>
      </c>
      <c r="X38" s="17">
        <f t="shared" si="12"/>
        <v>29.779108571804617</v>
      </c>
      <c r="Y38" s="43">
        <f t="shared" si="13"/>
        <v>-3.1522253123467264E-2</v>
      </c>
      <c r="Z38" s="16">
        <v>25.79895789576922</v>
      </c>
      <c r="AA38" s="25"/>
    </row>
    <row r="39" spans="1:27" x14ac:dyDescent="0.2">
      <c r="A39" s="4">
        <f t="shared" si="8"/>
        <v>40513</v>
      </c>
      <c r="B39" s="26">
        <v>153358</v>
      </c>
      <c r="C39" s="27">
        <f t="shared" si="0"/>
        <v>92.115712763332226</v>
      </c>
      <c r="D39" s="7" t="e">
        <v>#N/A</v>
      </c>
      <c r="E39" s="8" t="e">
        <v>#N/A</v>
      </c>
      <c r="F39" s="100">
        <v>0.85757432268732503</v>
      </c>
      <c r="G39" s="13">
        <v>1</v>
      </c>
      <c r="H39" s="18">
        <v>103.87730477197999</v>
      </c>
      <c r="I39" s="19">
        <f t="shared" si="1"/>
        <v>107.41426174547203</v>
      </c>
      <c r="J39" s="20">
        <f t="shared" si="3"/>
        <v>107.41426174547203</v>
      </c>
      <c r="K39" s="17">
        <f t="shared" si="6"/>
        <v>104.85023944252696</v>
      </c>
      <c r="L39" s="43">
        <f t="shared" si="4"/>
        <v>5.2365078662510835E-3</v>
      </c>
      <c r="M39" s="16">
        <v>95.353578635390278</v>
      </c>
      <c r="N39" s="45">
        <f t="shared" si="7"/>
        <v>0.26735521336476609</v>
      </c>
      <c r="O39" s="51">
        <v>5734</v>
      </c>
      <c r="P39" s="27">
        <f t="shared" si="9"/>
        <v>14.566239044836783</v>
      </c>
      <c r="Q39" s="7" t="e">
        <v>#N/A</v>
      </c>
      <c r="R39" s="59" t="e">
        <v>#N/A</v>
      </c>
      <c r="S39" s="98">
        <v>-5.3441766395736297</v>
      </c>
      <c r="T39" s="67">
        <v>1</v>
      </c>
      <c r="U39" s="80">
        <v>29.7002127160161</v>
      </c>
      <c r="V39" s="78">
        <f t="shared" si="10"/>
        <v>19.910415684410413</v>
      </c>
      <c r="W39" s="79">
        <f t="shared" si="11"/>
        <v>19.910415684410413</v>
      </c>
      <c r="X39" s="17">
        <f t="shared" si="12"/>
        <v>26.429352491399484</v>
      </c>
      <c r="Y39" s="43">
        <f t="shared" si="13"/>
        <v>-0.11933186370527837</v>
      </c>
      <c r="Z39" s="16">
        <v>28.04705786864762</v>
      </c>
      <c r="AA39" s="25"/>
    </row>
    <row r="40" spans="1:27" x14ac:dyDescent="0.2">
      <c r="A40" s="4">
        <f t="shared" si="8"/>
        <v>40544</v>
      </c>
      <c r="B40" s="26">
        <v>151848</v>
      </c>
      <c r="C40" s="27">
        <f t="shared" si="0"/>
        <v>91.20871915183082</v>
      </c>
      <c r="D40" s="7" t="e">
        <v>#N/A</v>
      </c>
      <c r="E40" s="8" t="e">
        <v>#N/A</v>
      </c>
      <c r="F40" s="100">
        <v>0.92824184311840896</v>
      </c>
      <c r="G40" s="13">
        <v>1</v>
      </c>
      <c r="H40" s="18">
        <v>109.146220079708</v>
      </c>
      <c r="I40" s="19">
        <f t="shared" si="1"/>
        <v>98.259650572761345</v>
      </c>
      <c r="J40" s="20">
        <f t="shared" si="3"/>
        <v>98.259650572761345</v>
      </c>
      <c r="K40" s="17">
        <f t="shared" si="6"/>
        <v>103.58604333955429</v>
      </c>
      <c r="L40" s="43">
        <f t="shared" si="4"/>
        <v>-1.2130437062131476E-2</v>
      </c>
      <c r="M40" s="16">
        <v>96.702860374267445</v>
      </c>
      <c r="N40" s="45">
        <f t="shared" si="7"/>
        <v>0.17635838021745665</v>
      </c>
      <c r="O40" s="51">
        <v>7775</v>
      </c>
      <c r="P40" s="27">
        <f t="shared" si="9"/>
        <v>19.751047885177186</v>
      </c>
      <c r="Q40" s="7" t="e">
        <v>#N/A</v>
      </c>
      <c r="R40" s="59" t="e">
        <v>#N/A</v>
      </c>
      <c r="S40" s="98">
        <v>-13.0150455708433</v>
      </c>
      <c r="T40" s="67">
        <v>1</v>
      </c>
      <c r="U40" s="80">
        <v>30.1139997558553</v>
      </c>
      <c r="V40" s="78">
        <f t="shared" si="10"/>
        <v>32.766093456020485</v>
      </c>
      <c r="W40" s="79">
        <f t="shared" si="11"/>
        <v>32.766093456020485</v>
      </c>
      <c r="X40" s="17">
        <f t="shared" si="12"/>
        <v>29.704088828757335</v>
      </c>
      <c r="Y40" s="43">
        <f t="shared" si="13"/>
        <v>0.11680947801986391</v>
      </c>
      <c r="Z40" s="16">
        <v>30.303712999180039</v>
      </c>
      <c r="AA40" s="45">
        <f t="shared" ref="AA40:AA103" si="14">(X40/X28)-1</f>
        <v>0.12748355260534039</v>
      </c>
    </row>
    <row r="41" spans="1:27" x14ac:dyDescent="0.2">
      <c r="A41" s="4">
        <f t="shared" si="8"/>
        <v>40575</v>
      </c>
      <c r="B41" s="26">
        <v>140363</v>
      </c>
      <c r="C41" s="27">
        <f t="shared" si="0"/>
        <v>84.310161782232427</v>
      </c>
      <c r="D41" s="7" t="e">
        <v>#N/A</v>
      </c>
      <c r="E41" s="8" t="e">
        <v>#N/A</v>
      </c>
      <c r="F41" s="100">
        <v>0.76360561204633104</v>
      </c>
      <c r="G41" s="13">
        <v>1</v>
      </c>
      <c r="H41" s="18">
        <v>114.134911500258</v>
      </c>
      <c r="I41" s="19">
        <f t="shared" si="1"/>
        <v>110.41061046722243</v>
      </c>
      <c r="J41" s="20">
        <f t="shared" si="3"/>
        <v>110.41061046722243</v>
      </c>
      <c r="K41" s="17">
        <f t="shared" si="6"/>
        <v>111.25527832720866</v>
      </c>
      <c r="L41" s="43">
        <f t="shared" si="4"/>
        <v>7.1424761608081033E-2</v>
      </c>
      <c r="M41" s="16">
        <v>98.012644732855449</v>
      </c>
      <c r="N41" s="45">
        <f t="shared" si="7"/>
        <v>0.27613168120839515</v>
      </c>
      <c r="O41" s="51">
        <v>4239</v>
      </c>
      <c r="P41" s="27">
        <f t="shared" si="9"/>
        <v>10.768449129937762</v>
      </c>
      <c r="Q41" s="7" t="e">
        <v>#N/A</v>
      </c>
      <c r="R41" s="59" t="e">
        <v>#N/A</v>
      </c>
      <c r="S41" s="98">
        <v>-22.605303588640201</v>
      </c>
      <c r="T41" s="67">
        <v>1</v>
      </c>
      <c r="U41" s="80">
        <v>30.539359121788699</v>
      </c>
      <c r="V41" s="78">
        <f t="shared" si="10"/>
        <v>33.373752718577961</v>
      </c>
      <c r="W41" s="79">
        <f t="shared" si="11"/>
        <v>33.373752718577961</v>
      </c>
      <c r="X41" s="17">
        <f t="shared" si="12"/>
        <v>32.521059765083677</v>
      </c>
      <c r="Y41" s="43">
        <f t="shared" si="13"/>
        <v>9.0603164916031487E-2</v>
      </c>
      <c r="Z41" s="16">
        <v>32.570002394332171</v>
      </c>
      <c r="AA41" s="45">
        <f t="shared" si="14"/>
        <v>7.6970989228808628E-2</v>
      </c>
    </row>
    <row r="42" spans="1:27" x14ac:dyDescent="0.2">
      <c r="A42" s="4">
        <f t="shared" si="8"/>
        <v>40603</v>
      </c>
      <c r="B42" s="26">
        <v>187813</v>
      </c>
      <c r="C42" s="27">
        <f t="shared" si="0"/>
        <v>112.81138487212741</v>
      </c>
      <c r="D42" s="7" t="e">
        <v>#N/A</v>
      </c>
      <c r="E42" s="8" t="e">
        <v>#N/A</v>
      </c>
      <c r="F42" s="100">
        <v>0.80061210124689097</v>
      </c>
      <c r="G42" s="13">
        <v>0.33192620724490102</v>
      </c>
      <c r="H42" s="18">
        <v>118.504436402419</v>
      </c>
      <c r="I42" s="19">
        <f t="shared" si="1"/>
        <v>140.90641984605585</v>
      </c>
      <c r="J42" s="20">
        <f t="shared" si="3"/>
        <v>125.94024180162845</v>
      </c>
      <c r="K42" s="17">
        <f t="shared" si="6"/>
        <v>121.27096840149858</v>
      </c>
      <c r="L42" s="43">
        <f t="shared" si="4"/>
        <v>8.6200084577432362E-2</v>
      </c>
      <c r="M42" s="16">
        <v>99.281742755630816</v>
      </c>
      <c r="N42" s="45">
        <f t="shared" si="7"/>
        <v>0.45263673507828428</v>
      </c>
      <c r="O42" s="51">
        <v>4427</v>
      </c>
      <c r="P42" s="27">
        <f t="shared" si="9"/>
        <v>11.246030737965198</v>
      </c>
      <c r="Q42" s="7" t="e">
        <v>#N/A</v>
      </c>
      <c r="R42" s="59" t="e">
        <v>#N/A</v>
      </c>
      <c r="S42" s="98">
        <v>-19.324609429193099</v>
      </c>
      <c r="T42" s="67">
        <v>1</v>
      </c>
      <c r="U42" s="80">
        <v>31.301009691086499</v>
      </c>
      <c r="V42" s="78">
        <f t="shared" si="10"/>
        <v>30.570640167158295</v>
      </c>
      <c r="W42" s="79">
        <f t="shared" si="11"/>
        <v>30.570640167158295</v>
      </c>
      <c r="X42" s="17">
        <f t="shared" si="12"/>
        <v>31.738606775771512</v>
      </c>
      <c r="Y42" s="43">
        <f t="shared" si="13"/>
        <v>-2.4354053019208659E-2</v>
      </c>
      <c r="Z42" s="16">
        <v>34.847000534339962</v>
      </c>
      <c r="AA42" s="45">
        <f t="shared" si="14"/>
        <v>2.0497452440443542E-2</v>
      </c>
    </row>
    <row r="43" spans="1:27" x14ac:dyDescent="0.2">
      <c r="A43" s="4">
        <f t="shared" si="8"/>
        <v>40634</v>
      </c>
      <c r="B43" s="26">
        <v>201369</v>
      </c>
      <c r="C43" s="27">
        <f t="shared" si="0"/>
        <v>120.95390500293071</v>
      </c>
      <c r="D43" s="7" t="e">
        <v>#N/A</v>
      </c>
      <c r="E43" s="8" t="e">
        <v>#N/A</v>
      </c>
      <c r="F43" s="100">
        <v>0.985024571155241</v>
      </c>
      <c r="G43" s="13">
        <v>1</v>
      </c>
      <c r="H43" s="18">
        <v>121.432938578829</v>
      </c>
      <c r="I43" s="19">
        <f t="shared" si="1"/>
        <v>122.792779535515</v>
      </c>
      <c r="J43" s="20">
        <f t="shared" si="3"/>
        <v>122.792779535515</v>
      </c>
      <c r="K43" s="17">
        <f t="shared" si="6"/>
        <v>124.76937115957595</v>
      </c>
      <c r="L43" s="43">
        <f t="shared" si="4"/>
        <v>2.8439552277138447E-2</v>
      </c>
      <c r="M43" s="16">
        <v>100.5090676678829</v>
      </c>
      <c r="N43" s="45">
        <f t="shared" si="7"/>
        <v>0.45243724387933937</v>
      </c>
      <c r="O43" s="51">
        <v>5938</v>
      </c>
      <c r="P43" s="27">
        <f t="shared" si="9"/>
        <v>15.084465896100596</v>
      </c>
      <c r="Q43" s="7" t="e">
        <v>#N/A</v>
      </c>
      <c r="R43" s="59" t="e">
        <v>#N/A</v>
      </c>
      <c r="S43" s="98">
        <v>-17.354928154090899</v>
      </c>
      <c r="T43" s="67">
        <v>1</v>
      </c>
      <c r="U43" s="80">
        <v>32.4798254420269</v>
      </c>
      <c r="V43" s="78">
        <f t="shared" si="10"/>
        <v>32.439394050191495</v>
      </c>
      <c r="W43" s="79">
        <f t="shared" si="11"/>
        <v>32.439394050191495</v>
      </c>
      <c r="X43" s="17">
        <f t="shared" si="12"/>
        <v>31.378067232537454</v>
      </c>
      <c r="Y43" s="43">
        <f t="shared" si="13"/>
        <v>-1.1424666158312913E-2</v>
      </c>
      <c r="Z43" s="16">
        <v>37.135781521795693</v>
      </c>
      <c r="AA43" s="45">
        <f t="shared" si="14"/>
        <v>3.507214215474308E-2</v>
      </c>
    </row>
    <row r="44" spans="1:27" x14ac:dyDescent="0.2">
      <c r="A44" s="4">
        <f t="shared" si="8"/>
        <v>40664</v>
      </c>
      <c r="B44" s="26">
        <v>219703</v>
      </c>
      <c r="C44" s="27">
        <f t="shared" si="0"/>
        <v>131.96636915741195</v>
      </c>
      <c r="D44" s="7" t="e">
        <v>#N/A</v>
      </c>
      <c r="E44" s="8" t="e">
        <v>#N/A</v>
      </c>
      <c r="F44" s="100">
        <v>1.0346109534694801</v>
      </c>
      <c r="G44" s="13">
        <v>1</v>
      </c>
      <c r="H44" s="18">
        <v>122.360356858096</v>
      </c>
      <c r="I44" s="19">
        <f t="shared" si="1"/>
        <v>127.55168376564536</v>
      </c>
      <c r="J44" s="20">
        <f t="shared" si="3"/>
        <v>127.55168376564536</v>
      </c>
      <c r="K44" s="17">
        <f t="shared" si="6"/>
        <v>124.86759731749456</v>
      </c>
      <c r="L44" s="43">
        <f t="shared" si="4"/>
        <v>7.8695205751833769E-4</v>
      </c>
      <c r="M44" s="16">
        <v>101.6937023648487</v>
      </c>
      <c r="N44" s="45">
        <f t="shared" si="7"/>
        <v>0.38187023143473553</v>
      </c>
      <c r="O44" s="51">
        <v>5081</v>
      </c>
      <c r="P44" s="27">
        <f t="shared" si="9"/>
        <v>12.907405055252127</v>
      </c>
      <c r="Q44" s="7" t="e">
        <v>#N/A</v>
      </c>
      <c r="R44" s="59" t="e">
        <v>#N/A</v>
      </c>
      <c r="S44" s="98">
        <v>-17.155435607356399</v>
      </c>
      <c r="T44" s="67">
        <v>1</v>
      </c>
      <c r="U44" s="80">
        <v>33.882243567388102</v>
      </c>
      <c r="V44" s="78">
        <f t="shared" si="10"/>
        <v>30.062840662608526</v>
      </c>
      <c r="W44" s="79">
        <f t="shared" si="11"/>
        <v>30.062840662608526</v>
      </c>
      <c r="X44" s="17">
        <f t="shared" si="12"/>
        <v>32.755478717923424</v>
      </c>
      <c r="Y44" s="43">
        <f t="shared" si="13"/>
        <v>4.296108411358715E-2</v>
      </c>
      <c r="Z44" s="16">
        <v>39.437395474770561</v>
      </c>
      <c r="AA44" s="45">
        <f t="shared" si="14"/>
        <v>0.13382001152243461</v>
      </c>
    </row>
    <row r="45" spans="1:27" x14ac:dyDescent="0.2">
      <c r="A45" s="4">
        <f t="shared" si="8"/>
        <v>40695</v>
      </c>
      <c r="B45" s="26">
        <v>210080</v>
      </c>
      <c r="C45" s="27">
        <f t="shared" si="0"/>
        <v>126.18623702265832</v>
      </c>
      <c r="D45" s="7" t="e">
        <v>#N/A</v>
      </c>
      <c r="E45" s="8" t="e">
        <v>#N/A</v>
      </c>
      <c r="F45" s="100">
        <v>1.0379356246513001</v>
      </c>
      <c r="G45" s="13">
        <v>1</v>
      </c>
      <c r="H45" s="18">
        <v>120.643290210201</v>
      </c>
      <c r="I45" s="19">
        <f t="shared" si="1"/>
        <v>121.57424220317252</v>
      </c>
      <c r="J45" s="20">
        <f t="shared" si="3"/>
        <v>121.57424220317252</v>
      </c>
      <c r="K45" s="17">
        <f t="shared" si="6"/>
        <v>121.39642415310867</v>
      </c>
      <c r="L45" s="43">
        <f t="shared" si="4"/>
        <v>-2.8192531360649455E-2</v>
      </c>
      <c r="M45" s="16">
        <v>102.8349169354703</v>
      </c>
      <c r="N45" s="45">
        <f t="shared" si="7"/>
        <v>0.3461374491531477</v>
      </c>
      <c r="O45" s="51">
        <v>18209</v>
      </c>
      <c r="P45" s="27">
        <f t="shared" si="9"/>
        <v>46.256827130699861</v>
      </c>
      <c r="Q45" s="7" t="e">
        <v>#N/A</v>
      </c>
      <c r="R45" s="59" t="e">
        <v>#N/A</v>
      </c>
      <c r="S45" s="98">
        <v>7.7999876344147303</v>
      </c>
      <c r="T45" s="67">
        <v>1</v>
      </c>
      <c r="U45" s="80">
        <v>35.005282599180497</v>
      </c>
      <c r="V45" s="78">
        <f t="shared" si="10"/>
        <v>38.456839496285127</v>
      </c>
      <c r="W45" s="79">
        <f t="shared" si="11"/>
        <v>38.456839496285127</v>
      </c>
      <c r="X45" s="17">
        <f t="shared" si="12"/>
        <v>35.76438841301561</v>
      </c>
      <c r="Y45" s="43">
        <f t="shared" si="13"/>
        <v>8.7882424073893822E-2</v>
      </c>
      <c r="Z45" s="16">
        <v>41.752848084529482</v>
      </c>
      <c r="AA45" s="45">
        <f t="shared" si="14"/>
        <v>0.49058560917500316</v>
      </c>
    </row>
    <row r="46" spans="1:27" x14ac:dyDescent="0.2">
      <c r="A46" s="4">
        <f t="shared" si="8"/>
        <v>40725</v>
      </c>
      <c r="B46" s="26">
        <v>222315</v>
      </c>
      <c r="C46" s="27">
        <f t="shared" si="0"/>
        <v>133.5352879079031</v>
      </c>
      <c r="D46" s="7" t="e">
        <v>#N/A</v>
      </c>
      <c r="E46" s="8" t="e">
        <v>#N/A</v>
      </c>
      <c r="F46" s="100">
        <v>1.16233340892127</v>
      </c>
      <c r="G46" s="13">
        <v>1</v>
      </c>
      <c r="H46" s="18">
        <v>117.232344950669</v>
      </c>
      <c r="I46" s="19">
        <f t="shared" si="1"/>
        <v>114.88552844044426</v>
      </c>
      <c r="J46" s="20">
        <f t="shared" si="3"/>
        <v>114.88552844044426</v>
      </c>
      <c r="K46" s="17">
        <f t="shared" si="6"/>
        <v>116.90336498599952</v>
      </c>
      <c r="L46" s="43">
        <f t="shared" si="4"/>
        <v>-3.7713769879568371E-2</v>
      </c>
      <c r="M46" s="16">
        <v>103.932160279608</v>
      </c>
      <c r="N46" s="45">
        <f t="shared" si="7"/>
        <v>0.35007181450254676</v>
      </c>
      <c r="O46" s="51">
        <v>21344</v>
      </c>
      <c r="P46" s="27">
        <f t="shared" si="9"/>
        <v>54.220754477327574</v>
      </c>
      <c r="Q46" s="7" t="e">
        <v>#N/A</v>
      </c>
      <c r="R46" s="59" t="e">
        <v>#N/A</v>
      </c>
      <c r="S46" s="98">
        <v>18.139720480443899</v>
      </c>
      <c r="T46" s="67">
        <v>1</v>
      </c>
      <c r="U46" s="80">
        <v>35.992359096120701</v>
      </c>
      <c r="V46" s="78">
        <f t="shared" si="10"/>
        <v>36.081033996883676</v>
      </c>
      <c r="W46" s="79">
        <f t="shared" si="11"/>
        <v>36.081033996883676</v>
      </c>
      <c r="X46" s="17">
        <f t="shared" si="12"/>
        <v>37.135770122017433</v>
      </c>
      <c r="Y46" s="43">
        <f t="shared" si="13"/>
        <v>3.7627998086722167E-2</v>
      </c>
      <c r="Z46" s="16">
        <v>44.083093484338796</v>
      </c>
      <c r="AA46" s="45">
        <f t="shared" si="14"/>
        <v>0.73334586275500602</v>
      </c>
    </row>
    <row r="47" spans="1:27" x14ac:dyDescent="0.2">
      <c r="A47" s="4">
        <f t="shared" si="8"/>
        <v>40756</v>
      </c>
      <c r="B47" s="26">
        <v>223808</v>
      </c>
      <c r="C47" s="27">
        <f t="shared" si="0"/>
        <v>134.43207033304986</v>
      </c>
      <c r="D47" s="7" t="e">
        <v>#N/A</v>
      </c>
      <c r="E47" s="8" t="e">
        <v>#N/A</v>
      </c>
      <c r="F47" s="100">
        <v>1.15622427790007</v>
      </c>
      <c r="G47" s="13">
        <v>1</v>
      </c>
      <c r="H47" s="18">
        <v>115.063745191479</v>
      </c>
      <c r="I47" s="19">
        <f t="shared" si="1"/>
        <v>116.26816085993703</v>
      </c>
      <c r="J47" s="20">
        <f t="shared" si="3"/>
        <v>116.26816085993703</v>
      </c>
      <c r="K47" s="17">
        <f t="shared" si="6"/>
        <v>114.67868400488021</v>
      </c>
      <c r="L47" s="43">
        <f t="shared" si="4"/>
        <v>-1.9213487648497372E-2</v>
      </c>
      <c r="M47" s="16">
        <v>104.98502451862549</v>
      </c>
      <c r="N47" s="45">
        <f t="shared" si="7"/>
        <v>0.35595589082494539</v>
      </c>
      <c r="O47" s="51">
        <v>20285</v>
      </c>
      <c r="P47" s="27">
        <f t="shared" si="9"/>
        <v>51.530547440619841</v>
      </c>
      <c r="Q47" s="7" t="e">
        <v>#N/A</v>
      </c>
      <c r="R47" s="59" t="e">
        <v>#N/A</v>
      </c>
      <c r="S47" s="98">
        <v>13.606374442602601</v>
      </c>
      <c r="T47" s="67">
        <v>1</v>
      </c>
      <c r="U47" s="80">
        <v>37.474112303378902</v>
      </c>
      <c r="V47" s="78">
        <f t="shared" si="10"/>
        <v>37.924172998017241</v>
      </c>
      <c r="W47" s="79">
        <f t="shared" si="11"/>
        <v>37.924172998017241</v>
      </c>
      <c r="X47" s="17">
        <f t="shared" si="12"/>
        <v>38.154870014625075</v>
      </c>
      <c r="Y47" s="43">
        <f t="shared" si="13"/>
        <v>2.7072744616560094E-2</v>
      </c>
      <c r="Z47" s="16">
        <v>46.429039600212192</v>
      </c>
      <c r="AA47" s="45">
        <f t="shared" si="14"/>
        <v>0.63020265148034227</v>
      </c>
    </row>
    <row r="48" spans="1:27" x14ac:dyDescent="0.2">
      <c r="A48" s="4">
        <f t="shared" si="8"/>
        <v>40787</v>
      </c>
      <c r="B48" s="26">
        <v>208434</v>
      </c>
      <c r="C48" s="27">
        <f t="shared" si="0"/>
        <v>125.19755392031971</v>
      </c>
      <c r="D48" s="7" t="e">
        <v>#N/A</v>
      </c>
      <c r="E48" s="8" t="e">
        <v>#N/A</v>
      </c>
      <c r="F48" s="100">
        <v>1.1249376180136801</v>
      </c>
      <c r="G48" s="13">
        <v>1</v>
      </c>
      <c r="H48" s="18">
        <v>117.070639939624</v>
      </c>
      <c r="I48" s="19">
        <f t="shared" si="1"/>
        <v>111.29288585920256</v>
      </c>
      <c r="J48" s="20">
        <f t="shared" si="3"/>
        <v>111.29288585920256</v>
      </c>
      <c r="K48" s="17">
        <f t="shared" si="6"/>
        <v>115.13216158556543</v>
      </c>
      <c r="L48" s="43">
        <f t="shared" si="4"/>
        <v>3.9465340993897107E-3</v>
      </c>
      <c r="M48" s="16">
        <v>105.993201860338</v>
      </c>
      <c r="N48" s="45">
        <f t="shared" si="7"/>
        <v>0.31346795471027544</v>
      </c>
      <c r="O48" s="51">
        <v>23841</v>
      </c>
      <c r="P48" s="27">
        <f t="shared" si="9"/>
        <v>60.563952749904736</v>
      </c>
      <c r="Q48" s="7" t="e">
        <v>#N/A</v>
      </c>
      <c r="R48" s="59" t="e">
        <v>#N/A</v>
      </c>
      <c r="S48" s="98">
        <v>19.8738526843226</v>
      </c>
      <c r="T48" s="67">
        <v>1</v>
      </c>
      <c r="U48" s="80">
        <v>39.403347198402301</v>
      </c>
      <c r="V48" s="78">
        <f t="shared" si="10"/>
        <v>40.690100065582136</v>
      </c>
      <c r="W48" s="79">
        <f t="shared" si="11"/>
        <v>40.690100065582136</v>
      </c>
      <c r="X48" s="17">
        <f t="shared" si="12"/>
        <v>38.904863299405903</v>
      </c>
      <c r="Y48" s="43">
        <f t="shared" si="13"/>
        <v>1.9465859396188456E-2</v>
      </c>
      <c r="Z48" s="16">
        <v>48.791540752272233</v>
      </c>
      <c r="AA48" s="45">
        <f t="shared" si="14"/>
        <v>0.46334458816528423</v>
      </c>
    </row>
    <row r="49" spans="1:27" x14ac:dyDescent="0.2">
      <c r="A49" s="4">
        <f t="shared" si="8"/>
        <v>40817</v>
      </c>
      <c r="B49" s="26">
        <v>234989</v>
      </c>
      <c r="C49" s="27">
        <f t="shared" si="0"/>
        <v>141.14802766430626</v>
      </c>
      <c r="D49" s="7" t="e">
        <v>#N/A</v>
      </c>
      <c r="E49" s="8" t="e">
        <v>#N/A</v>
      </c>
      <c r="F49" s="100">
        <v>1.16004404940019</v>
      </c>
      <c r="G49" s="13">
        <v>1</v>
      </c>
      <c r="H49" s="18">
        <v>124.39708970331399</v>
      </c>
      <c r="I49" s="19">
        <f t="shared" si="1"/>
        <v>121.67471376391954</v>
      </c>
      <c r="J49" s="20">
        <f t="shared" si="3"/>
        <v>121.67471376391954</v>
      </c>
      <c r="K49" s="17">
        <f t="shared" si="6"/>
        <v>119.35117063893856</v>
      </c>
      <c r="L49" s="43">
        <f t="shared" si="4"/>
        <v>3.5989461508912989E-2</v>
      </c>
      <c r="M49" s="16">
        <v>106.956459309321</v>
      </c>
      <c r="N49" s="45">
        <f t="shared" si="7"/>
        <v>0.23971115084309336</v>
      </c>
      <c r="O49" s="51">
        <v>23626</v>
      </c>
      <c r="P49" s="27">
        <f t="shared" si="9"/>
        <v>60.017782293915914</v>
      </c>
      <c r="Q49" s="7" t="e">
        <v>#N/A</v>
      </c>
      <c r="R49" s="59" t="e">
        <v>#N/A</v>
      </c>
      <c r="S49" s="98">
        <v>23.7027022254738</v>
      </c>
      <c r="T49" s="67">
        <v>1</v>
      </c>
      <c r="U49" s="80">
        <v>41.824336891741801</v>
      </c>
      <c r="V49" s="78">
        <f t="shared" si="10"/>
        <v>36.315080068442114</v>
      </c>
      <c r="W49" s="79">
        <f t="shared" si="11"/>
        <v>36.315080068442114</v>
      </c>
      <c r="X49" s="17">
        <f t="shared" si="12"/>
        <v>38.840313913909583</v>
      </c>
      <c r="Y49" s="43">
        <f t="shared" si="13"/>
        <v>-1.6605377373185293E-3</v>
      </c>
      <c r="Z49" s="16">
        <v>51.1713874167433</v>
      </c>
      <c r="AA49" s="45">
        <f t="shared" si="14"/>
        <v>0.26380799245071107</v>
      </c>
    </row>
    <row r="50" spans="1:27" x14ac:dyDescent="0.2">
      <c r="A50" s="4">
        <f t="shared" si="8"/>
        <v>40848</v>
      </c>
      <c r="B50" s="26">
        <v>209900</v>
      </c>
      <c r="C50" s="27">
        <f t="shared" si="0"/>
        <v>126.07811857890319</v>
      </c>
      <c r="D50" s="7" t="e">
        <v>#N/A</v>
      </c>
      <c r="E50" s="8" t="e">
        <v>#N/A</v>
      </c>
      <c r="F50" s="100">
        <v>1.0270094934843901</v>
      </c>
      <c r="G50" s="13">
        <v>1</v>
      </c>
      <c r="H50" s="18">
        <v>135.66557976239301</v>
      </c>
      <c r="I50" s="19">
        <f t="shared" si="1"/>
        <v>122.76236916871255</v>
      </c>
      <c r="J50" s="20">
        <f t="shared" si="3"/>
        <v>122.76236916871255</v>
      </c>
      <c r="K50" s="17">
        <f t="shared" si="6"/>
        <v>130.09033239333789</v>
      </c>
      <c r="L50" s="43">
        <f t="shared" si="4"/>
        <v>8.6158912522767722E-2</v>
      </c>
      <c r="M50" s="16">
        <v>107.8746343868136</v>
      </c>
      <c r="N50" s="45">
        <f t="shared" si="7"/>
        <v>0.24723928967030906</v>
      </c>
      <c r="O50" s="51">
        <v>21336</v>
      </c>
      <c r="P50" s="27">
        <f t="shared" si="9"/>
        <v>54.200431855709382</v>
      </c>
      <c r="Q50" s="7" t="e">
        <v>#N/A</v>
      </c>
      <c r="R50" s="59" t="e">
        <v>#N/A</v>
      </c>
      <c r="S50" s="98">
        <v>12.1594364025374</v>
      </c>
      <c r="T50" s="67">
        <v>1</v>
      </c>
      <c r="U50" s="80">
        <v>44.260502289228697</v>
      </c>
      <c r="V50" s="78">
        <f t="shared" si="10"/>
        <v>42.040995453171981</v>
      </c>
      <c r="W50" s="79">
        <f t="shared" si="11"/>
        <v>42.040995453171981</v>
      </c>
      <c r="X50" s="17">
        <f t="shared" si="12"/>
        <v>42.624836267353245</v>
      </c>
      <c r="Y50" s="43">
        <f t="shared" si="13"/>
        <v>9.2978368738244277E-2</v>
      </c>
      <c r="Z50" s="16">
        <v>53.569293783756862</v>
      </c>
      <c r="AA50" s="45">
        <f t="shared" si="14"/>
        <v>0.43136709967575015</v>
      </c>
    </row>
    <row r="51" spans="1:27" x14ac:dyDescent="0.2">
      <c r="A51" s="4">
        <f t="shared" si="8"/>
        <v>40878</v>
      </c>
      <c r="B51" s="26">
        <v>219342</v>
      </c>
      <c r="C51" s="27">
        <f t="shared" si="0"/>
        <v>131.7495316118808</v>
      </c>
      <c r="D51" s="7" t="e">
        <v>#N/A</v>
      </c>
      <c r="E51" s="8" t="e">
        <v>#N/A</v>
      </c>
      <c r="F51" s="100">
        <v>0.86019794080913103</v>
      </c>
      <c r="G51" s="13">
        <v>1</v>
      </c>
      <c r="H51" s="18">
        <v>147.91747058956699</v>
      </c>
      <c r="I51" s="19">
        <f t="shared" si="1"/>
        <v>153.16187747200692</v>
      </c>
      <c r="J51" s="20">
        <f t="shared" si="3"/>
        <v>153.16187747200692</v>
      </c>
      <c r="K51" s="17">
        <f t="shared" si="6"/>
        <v>149.72143684880288</v>
      </c>
      <c r="L51" s="43">
        <f t="shared" si="4"/>
        <v>0.14054740618330644</v>
      </c>
      <c r="M51" s="16">
        <v>108.7476602522643</v>
      </c>
      <c r="N51" s="45">
        <f t="shared" si="7"/>
        <v>0.42795512575697847</v>
      </c>
      <c r="O51" s="51">
        <v>17522</v>
      </c>
      <c r="P51" s="27">
        <f t="shared" si="9"/>
        <v>44.511621999237903</v>
      </c>
      <c r="Q51" s="7" t="e">
        <v>#N/A</v>
      </c>
      <c r="R51" s="59" t="e">
        <v>#N/A</v>
      </c>
      <c r="S51" s="98">
        <v>-5.59065209538901</v>
      </c>
      <c r="T51" s="67">
        <v>1</v>
      </c>
      <c r="U51" s="80">
        <v>45.8741515359836</v>
      </c>
      <c r="V51" s="78">
        <f t="shared" si="10"/>
        <v>50.102274094626914</v>
      </c>
      <c r="W51" s="79">
        <f t="shared" si="11"/>
        <v>50.102274094626914</v>
      </c>
      <c r="X51" s="17">
        <f t="shared" si="12"/>
        <v>48.615061392877863</v>
      </c>
      <c r="Y51" s="43">
        <f t="shared" si="13"/>
        <v>0.13149629373780891</v>
      </c>
      <c r="Z51" s="16">
        <v>55.985878896273007</v>
      </c>
      <c r="AA51" s="45">
        <f t="shared" si="14"/>
        <v>0.83943444731375649</v>
      </c>
    </row>
    <row r="52" spans="1:27" x14ac:dyDescent="0.2">
      <c r="A52" s="4">
        <f t="shared" si="8"/>
        <v>40909</v>
      </c>
      <c r="B52" s="26">
        <v>257933</v>
      </c>
      <c r="C52" s="27">
        <f t="shared" si="0"/>
        <v>154.92952529496063</v>
      </c>
      <c r="D52" s="7" t="e">
        <v>#N/A</v>
      </c>
      <c r="E52" s="8" t="e">
        <v>#N/A</v>
      </c>
      <c r="F52" s="100">
        <v>0.91242561261289701</v>
      </c>
      <c r="G52" s="13">
        <v>1</v>
      </c>
      <c r="H52" s="18">
        <v>157.420113545379</v>
      </c>
      <c r="I52" s="19">
        <f t="shared" si="1"/>
        <v>169.79962328248513</v>
      </c>
      <c r="J52" s="20">
        <f t="shared" si="3"/>
        <v>169.79962328248513</v>
      </c>
      <c r="K52" s="17">
        <f t="shared" si="6"/>
        <v>165.32168797713547</v>
      </c>
      <c r="L52" s="43">
        <f t="shared" si="4"/>
        <v>9.9116720057525934E-2</v>
      </c>
      <c r="M52" s="16">
        <v>109.57564148254519</v>
      </c>
      <c r="N52" s="45">
        <f t="shared" si="7"/>
        <v>0.59598419485154164</v>
      </c>
      <c r="O52" s="51">
        <v>17295</v>
      </c>
      <c r="P52" s="27">
        <f t="shared" si="9"/>
        <v>43.934967610821793</v>
      </c>
      <c r="Q52" s="7" t="e">
        <v>#N/A</v>
      </c>
      <c r="R52" s="59" t="e">
        <v>#N/A</v>
      </c>
      <c r="S52" s="98">
        <v>-13.279134571710699</v>
      </c>
      <c r="T52" s="67">
        <v>0.54904644161437499</v>
      </c>
      <c r="U52" s="80">
        <v>46.127815888785797</v>
      </c>
      <c r="V52" s="78">
        <f t="shared" si="10"/>
        <v>57.214102182532493</v>
      </c>
      <c r="W52" s="79">
        <f t="shared" si="11"/>
        <v>52.214701929085635</v>
      </c>
      <c r="X52" s="17">
        <f t="shared" si="12"/>
        <v>49.928130194103311</v>
      </c>
      <c r="Y52" s="43">
        <f t="shared" si="13"/>
        <v>2.6651187166407943E-2</v>
      </c>
      <c r="Z52" s="16">
        <v>58.421677349274361</v>
      </c>
      <c r="AA52" s="45">
        <f t="shared" si="14"/>
        <v>0.68085042035581744</v>
      </c>
    </row>
    <row r="53" spans="1:27" x14ac:dyDescent="0.2">
      <c r="A53" s="4">
        <f t="shared" si="8"/>
        <v>40940</v>
      </c>
      <c r="B53" s="26">
        <v>240003</v>
      </c>
      <c r="C53" s="27">
        <f t="shared" si="0"/>
        <v>144.15972698090758</v>
      </c>
      <c r="D53" s="7" t="e">
        <v>#N/A</v>
      </c>
      <c r="E53" s="8" t="e">
        <v>#N/A</v>
      </c>
      <c r="F53" s="100">
        <v>0.74953967999170701</v>
      </c>
      <c r="G53" s="13">
        <v>0.225774772687136</v>
      </c>
      <c r="H53" s="18">
        <v>161.58364827558799</v>
      </c>
      <c r="I53" s="19">
        <f t="shared" si="1"/>
        <v>192.33101439339754</v>
      </c>
      <c r="J53" s="20">
        <f t="shared" si="3"/>
        <v>168.52562787156461</v>
      </c>
      <c r="K53" s="17">
        <f t="shared" si="6"/>
        <v>167.91692176869142</v>
      </c>
      <c r="L53" s="43">
        <f t="shared" si="4"/>
        <v>1.5576143855694181E-2</v>
      </c>
      <c r="M53" s="16">
        <v>110.35899881019751</v>
      </c>
      <c r="N53" s="45">
        <f t="shared" si="7"/>
        <v>0.50929397951652566</v>
      </c>
      <c r="O53" s="51">
        <v>8261</v>
      </c>
      <c r="P53" s="27">
        <f t="shared" si="9"/>
        <v>20.985647148482155</v>
      </c>
      <c r="Q53" s="7" t="e">
        <v>#N/A</v>
      </c>
      <c r="R53" s="59" t="e">
        <v>#N/A</v>
      </c>
      <c r="S53" s="98">
        <v>-24.195195675132901</v>
      </c>
      <c r="T53" s="67">
        <v>1</v>
      </c>
      <c r="U53" s="80">
        <v>45.212223568470499</v>
      </c>
      <c r="V53" s="78">
        <f t="shared" si="10"/>
        <v>45.180842823615052</v>
      </c>
      <c r="W53" s="79">
        <f t="shared" si="11"/>
        <v>45.180842823615052</v>
      </c>
      <c r="X53" s="17">
        <f t="shared" si="12"/>
        <v>46.421399884032347</v>
      </c>
      <c r="Y53" s="43">
        <f t="shared" si="13"/>
        <v>-7.2824017958005652E-2</v>
      </c>
      <c r="Z53" s="16">
        <v>60.877166864155427</v>
      </c>
      <c r="AA53" s="45">
        <f t="shared" si="14"/>
        <v>0.42742580405921471</v>
      </c>
    </row>
    <row r="54" spans="1:27" x14ac:dyDescent="0.2">
      <c r="A54" s="4">
        <f t="shared" si="8"/>
        <v>40969</v>
      </c>
      <c r="B54" s="26">
        <v>212499</v>
      </c>
      <c r="C54" s="27">
        <f t="shared" si="0"/>
        <v>127.63922877512314</v>
      </c>
      <c r="D54" s="7" t="e">
        <v>#N/A</v>
      </c>
      <c r="E54" s="8" t="e">
        <v>#N/A</v>
      </c>
      <c r="F54" s="100">
        <v>0.77443089868030202</v>
      </c>
      <c r="G54" s="13">
        <v>1</v>
      </c>
      <c r="H54" s="18">
        <v>159.88771440329299</v>
      </c>
      <c r="I54" s="19">
        <f t="shared" si="1"/>
        <v>164.81680804915138</v>
      </c>
      <c r="J54" s="20">
        <f t="shared" si="3"/>
        <v>164.81680804915138</v>
      </c>
      <c r="K54" s="17">
        <f t="shared" si="6"/>
        <v>160.75115682952512</v>
      </c>
      <c r="L54" s="43">
        <f t="shared" si="4"/>
        <v>-4.3611784266640898E-2</v>
      </c>
      <c r="M54" s="16">
        <v>111.0985831070283</v>
      </c>
      <c r="N54" s="45">
        <f t="shared" si="7"/>
        <v>0.32555350178549958</v>
      </c>
      <c r="O54" s="51">
        <v>9420</v>
      </c>
      <c r="P54" s="27">
        <f t="shared" si="9"/>
        <v>23.929886955417249</v>
      </c>
      <c r="Q54" s="7" t="e">
        <v>#N/A</v>
      </c>
      <c r="R54" s="59" t="e">
        <v>#N/A</v>
      </c>
      <c r="S54" s="98">
        <v>-19.1793250043964</v>
      </c>
      <c r="T54" s="67">
        <v>1</v>
      </c>
      <c r="U54" s="80">
        <v>43.742273038125902</v>
      </c>
      <c r="V54" s="78">
        <f t="shared" si="10"/>
        <v>43.109211959813649</v>
      </c>
      <c r="W54" s="79">
        <f t="shared" si="11"/>
        <v>43.109211959813649</v>
      </c>
      <c r="X54" s="17">
        <f t="shared" si="12"/>
        <v>42.011845721302976</v>
      </c>
      <c r="Y54" s="43">
        <f t="shared" si="13"/>
        <v>-9.9808937806708645E-2</v>
      </c>
      <c r="Z54" s="16">
        <v>63.352759625678907</v>
      </c>
      <c r="AA54" s="45">
        <f t="shared" si="14"/>
        <v>0.32368273182595431</v>
      </c>
    </row>
    <row r="55" spans="1:27" x14ac:dyDescent="0.2">
      <c r="A55" s="4">
        <f t="shared" si="8"/>
        <v>41000</v>
      </c>
      <c r="B55" s="26">
        <v>236400</v>
      </c>
      <c r="C55" s="27">
        <f t="shared" si="0"/>
        <v>141.99555613174232</v>
      </c>
      <c r="D55" s="7" t="e">
        <v>#N/A</v>
      </c>
      <c r="E55" s="8" t="e">
        <v>#N/A</v>
      </c>
      <c r="F55" s="100">
        <v>0.98032503935842197</v>
      </c>
      <c r="G55" s="13">
        <v>1</v>
      </c>
      <c r="H55" s="18">
        <v>153.41693041686301</v>
      </c>
      <c r="I55" s="19">
        <f t="shared" si="1"/>
        <v>144.8453833482331</v>
      </c>
      <c r="J55" s="20">
        <f t="shared" si="3"/>
        <v>144.8453833482331</v>
      </c>
      <c r="K55" s="17">
        <f t="shared" si="6"/>
        <v>149.01748843303591</v>
      </c>
      <c r="L55" s="43">
        <f t="shared" si="4"/>
        <v>-7.5793888451302652E-2</v>
      </c>
      <c r="M55" s="16">
        <v>111.795689364609</v>
      </c>
      <c r="N55" s="45">
        <f t="shared" si="7"/>
        <v>0.19434350793070365</v>
      </c>
      <c r="O55" s="51">
        <v>8026</v>
      </c>
      <c r="P55" s="27">
        <f t="shared" si="9"/>
        <v>20.388670138447861</v>
      </c>
      <c r="Q55" s="7" t="e">
        <v>#N/A</v>
      </c>
      <c r="R55" s="59" t="e">
        <v>#N/A</v>
      </c>
      <c r="S55" s="98">
        <v>-16.259446003521699</v>
      </c>
      <c r="T55" s="67">
        <v>1</v>
      </c>
      <c r="U55" s="80">
        <v>42.819683748908503</v>
      </c>
      <c r="V55" s="78">
        <f t="shared" si="10"/>
        <v>36.64811614196956</v>
      </c>
      <c r="W55" s="79">
        <f t="shared" si="11"/>
        <v>36.64811614196956</v>
      </c>
      <c r="X55" s="17">
        <f t="shared" si="12"/>
        <v>39.486097260471837</v>
      </c>
      <c r="Y55" s="43">
        <f t="shared" si="13"/>
        <v>-6.2002977638241606E-2</v>
      </c>
      <c r="Z55" s="16">
        <v>65.848756277199968</v>
      </c>
      <c r="AA55" s="45">
        <f t="shared" si="14"/>
        <v>0.25839800673021607</v>
      </c>
    </row>
    <row r="56" spans="1:27" x14ac:dyDescent="0.2">
      <c r="A56" s="4">
        <f t="shared" si="8"/>
        <v>41030</v>
      </c>
      <c r="B56" s="26">
        <v>238838</v>
      </c>
      <c r="C56" s="27">
        <f t="shared" si="0"/>
        <v>143.45996038660351</v>
      </c>
      <c r="D56" s="7" t="e">
        <v>#N/A</v>
      </c>
      <c r="E56" s="8" t="e">
        <v>#N/A</v>
      </c>
      <c r="F56" s="100">
        <v>1.0134045599802901</v>
      </c>
      <c r="G56" s="13">
        <v>1</v>
      </c>
      <c r="H56" s="18">
        <v>144.33224644489701</v>
      </c>
      <c r="I56" s="19">
        <f t="shared" si="1"/>
        <v>141.56237898652606</v>
      </c>
      <c r="J56" s="20">
        <f t="shared" si="3"/>
        <v>141.56237898652606</v>
      </c>
      <c r="K56" s="17">
        <f t="shared" si="6"/>
        <v>140.05376272659953</v>
      </c>
      <c r="L56" s="43">
        <f t="shared" si="4"/>
        <v>-6.2037302723290798E-2</v>
      </c>
      <c r="M56" s="16">
        <v>112.4519956962212</v>
      </c>
      <c r="N56" s="45">
        <f t="shared" si="7"/>
        <v>0.12161814382070535</v>
      </c>
      <c r="O56" s="51">
        <v>9710</v>
      </c>
      <c r="P56" s="27">
        <f t="shared" si="9"/>
        <v>24.66658198907659</v>
      </c>
      <c r="Q56" s="7" t="e">
        <v>#N/A</v>
      </c>
      <c r="R56" s="59" t="e">
        <v>#N/A</v>
      </c>
      <c r="S56" s="98">
        <v>-16.872362809058</v>
      </c>
      <c r="T56" s="67">
        <v>1</v>
      </c>
      <c r="U56" s="80">
        <v>43.512504518561897</v>
      </c>
      <c r="V56" s="78">
        <f t="shared" si="10"/>
        <v>41.538944798134594</v>
      </c>
      <c r="W56" s="79">
        <f t="shared" si="11"/>
        <v>41.538944798134594</v>
      </c>
      <c r="X56" s="17">
        <f t="shared" si="12"/>
        <v>41.987659441802897</v>
      </c>
      <c r="Y56" s="43">
        <f t="shared" si="13"/>
        <v>6.1427110432321505E-2</v>
      </c>
      <c r="Z56" s="16">
        <v>68.365292794520911</v>
      </c>
      <c r="AA56" s="45">
        <f t="shared" si="14"/>
        <v>0.28185149737493309</v>
      </c>
    </row>
    <row r="57" spans="1:27" x14ac:dyDescent="0.2">
      <c r="A57" s="4">
        <f t="shared" si="8"/>
        <v>41061</v>
      </c>
      <c r="B57" s="26">
        <v>231039</v>
      </c>
      <c r="C57" s="27">
        <f t="shared" si="0"/>
        <v>138.77542848190191</v>
      </c>
      <c r="D57" s="7" t="e">
        <v>#N/A</v>
      </c>
      <c r="E57" s="8" t="e">
        <v>#N/A</v>
      </c>
      <c r="F57" s="100">
        <v>1.04938200583506</v>
      </c>
      <c r="G57" s="13">
        <v>1</v>
      </c>
      <c r="H57" s="18">
        <v>134.24390329329299</v>
      </c>
      <c r="I57" s="19">
        <f t="shared" si="1"/>
        <v>132.24490958511288</v>
      </c>
      <c r="J57" s="20">
        <f t="shared" si="3"/>
        <v>132.24490958511288</v>
      </c>
      <c r="K57" s="17">
        <f t="shared" si="6"/>
        <v>133.45149565686486</v>
      </c>
      <c r="L57" s="43">
        <f t="shared" si="4"/>
        <v>-4.8288284960860808E-2</v>
      </c>
      <c r="M57" s="16">
        <v>113.0694674203918</v>
      </c>
      <c r="N57" s="45">
        <f t="shared" si="7"/>
        <v>9.930334923664641E-2</v>
      </c>
      <c r="O57" s="51">
        <v>22395</v>
      </c>
      <c r="P57" s="27">
        <f t="shared" si="9"/>
        <v>56.890638892417122</v>
      </c>
      <c r="Q57" s="7" t="e">
        <v>#N/A</v>
      </c>
      <c r="R57" s="59" t="e">
        <v>#N/A</v>
      </c>
      <c r="S57" s="98">
        <v>8.6660068634442808</v>
      </c>
      <c r="T57" s="67">
        <v>1</v>
      </c>
      <c r="U57" s="80">
        <v>46.006344538559198</v>
      </c>
      <c r="V57" s="78">
        <f t="shared" si="10"/>
        <v>48.224632028972842</v>
      </c>
      <c r="W57" s="79">
        <f t="shared" si="11"/>
        <v>48.224632028972842</v>
      </c>
      <c r="X57" s="17">
        <f t="shared" si="12"/>
        <v>47.964738868201238</v>
      </c>
      <c r="Y57" s="43">
        <f t="shared" si="13"/>
        <v>0.13309038174477186</v>
      </c>
      <c r="Z57" s="16">
        <v>70.902301737871099</v>
      </c>
      <c r="AA57" s="45">
        <f t="shared" si="14"/>
        <v>0.34113124805303796</v>
      </c>
    </row>
    <row r="58" spans="1:27" x14ac:dyDescent="0.2">
      <c r="A58" s="4">
        <f t="shared" si="8"/>
        <v>41091</v>
      </c>
      <c r="B58" s="26">
        <v>246371</v>
      </c>
      <c r="C58" s="27">
        <f t="shared" si="0"/>
        <v>147.98471725775588</v>
      </c>
      <c r="D58" s="7" t="e">
        <v>#N/A</v>
      </c>
      <c r="E58" s="8" t="e">
        <v>#N/A</v>
      </c>
      <c r="F58" s="100">
        <v>1.1583587748172499</v>
      </c>
      <c r="G58" s="13">
        <v>1</v>
      </c>
      <c r="H58" s="18">
        <v>124.154418256038</v>
      </c>
      <c r="I58" s="19">
        <f t="shared" si="1"/>
        <v>127.75378447070761</v>
      </c>
      <c r="J58" s="20">
        <f t="shared" si="3"/>
        <v>127.75378447070761</v>
      </c>
      <c r="K58" s="17">
        <f t="shared" si="6"/>
        <v>127.21386691486948</v>
      </c>
      <c r="L58" s="43">
        <f t="shared" si="4"/>
        <v>-4.7868421817073729E-2</v>
      </c>
      <c r="M58" s="16">
        <v>113.6502828322476</v>
      </c>
      <c r="N58" s="45">
        <f t="shared" si="7"/>
        <v>8.8196793395166839E-2</v>
      </c>
      <c r="O58" s="51">
        <v>28509</v>
      </c>
      <c r="P58" s="27">
        <f t="shared" si="9"/>
        <v>72.422202464117873</v>
      </c>
      <c r="Q58" s="7" t="e">
        <v>#N/A</v>
      </c>
      <c r="R58" s="59" t="e">
        <v>#N/A</v>
      </c>
      <c r="S58" s="98">
        <v>18.5514558473932</v>
      </c>
      <c r="T58" s="67">
        <v>1</v>
      </c>
      <c r="U58" s="80">
        <v>49.878138392490797</v>
      </c>
      <c r="V58" s="78">
        <f t="shared" si="10"/>
        <v>53.870746616724674</v>
      </c>
      <c r="W58" s="79">
        <f t="shared" si="11"/>
        <v>53.870746616724674</v>
      </c>
      <c r="X58" s="17">
        <f t="shared" si="12"/>
        <v>51.146457667820385</v>
      </c>
      <c r="Y58" s="43">
        <f t="shared" si="13"/>
        <v>6.4227102153883719E-2</v>
      </c>
      <c r="Z58" s="16">
        <v>73.459512136354618</v>
      </c>
      <c r="AA58" s="45">
        <f t="shared" si="14"/>
        <v>0.37728280576295781</v>
      </c>
    </row>
    <row r="59" spans="1:27" x14ac:dyDescent="0.2">
      <c r="A59" s="4">
        <f t="shared" si="8"/>
        <v>41122</v>
      </c>
      <c r="B59" s="26">
        <v>233859</v>
      </c>
      <c r="C59" s="27">
        <f t="shared" si="0"/>
        <v>140.46928410073235</v>
      </c>
      <c r="D59" s="7" t="e">
        <v>#N/A</v>
      </c>
      <c r="E59" s="8" t="e">
        <v>#N/A</v>
      </c>
      <c r="F59" s="100">
        <v>1.15991591212106</v>
      </c>
      <c r="G59" s="13">
        <v>1</v>
      </c>
      <c r="H59" s="18">
        <v>114.511811916187</v>
      </c>
      <c r="I59" s="19">
        <f t="shared" si="1"/>
        <v>121.10298913294986</v>
      </c>
      <c r="J59" s="20">
        <f t="shared" si="3"/>
        <v>121.10298913294986</v>
      </c>
      <c r="K59" s="17">
        <f t="shared" si="6"/>
        <v>118.97781750065658</v>
      </c>
      <c r="L59" s="43">
        <f t="shared" si="4"/>
        <v>-6.6932593412500088E-2</v>
      </c>
      <c r="M59" s="16">
        <v>114.19677749564489</v>
      </c>
      <c r="N59" s="45">
        <f t="shared" si="7"/>
        <v>3.7488514392033156E-2</v>
      </c>
      <c r="O59" s="51">
        <v>24617</v>
      </c>
      <c r="P59" s="27">
        <f t="shared" si="9"/>
        <v>62.535247046869046</v>
      </c>
      <c r="Q59" s="7" t="e">
        <v>#N/A</v>
      </c>
      <c r="R59" s="59" t="e">
        <v>#N/A</v>
      </c>
      <c r="S59" s="98">
        <v>13.915541638009699</v>
      </c>
      <c r="T59" s="67">
        <v>1</v>
      </c>
      <c r="U59" s="80">
        <v>54.2709304786557</v>
      </c>
      <c r="V59" s="78">
        <f t="shared" si="10"/>
        <v>48.619705408859346</v>
      </c>
      <c r="W59" s="79">
        <f t="shared" si="11"/>
        <v>48.619705408859346</v>
      </c>
      <c r="X59" s="17">
        <f t="shared" si="12"/>
        <v>53.765164111951684</v>
      </c>
      <c r="Y59" s="43">
        <f t="shared" si="13"/>
        <v>4.9932514038186139E-2</v>
      </c>
      <c r="Z59" s="16">
        <v>76.03647603171018</v>
      </c>
      <c r="AA59" s="45">
        <f t="shared" si="14"/>
        <v>0.40912979368932612</v>
      </c>
    </row>
    <row r="60" spans="1:27" x14ac:dyDescent="0.2">
      <c r="A60" s="4">
        <f t="shared" si="8"/>
        <v>41153</v>
      </c>
      <c r="B60" s="26">
        <v>133081</v>
      </c>
      <c r="C60" s="27">
        <f t="shared" si="0"/>
        <v>79.936170074316408</v>
      </c>
      <c r="D60" s="7" t="e">
        <v>#N/A</v>
      </c>
      <c r="E60" s="8" t="e">
        <v>#N/A</v>
      </c>
      <c r="F60" s="100">
        <v>1.1410929471523401</v>
      </c>
      <c r="G60" s="13">
        <v>0</v>
      </c>
      <c r="H60" s="18">
        <v>105.95150726601899</v>
      </c>
      <c r="I60" s="19">
        <f t="shared" si="1"/>
        <v>70.052286515135762</v>
      </c>
      <c r="J60" s="20">
        <f t="shared" si="3"/>
        <v>105.95150726601899</v>
      </c>
      <c r="K60" s="17">
        <f t="shared" si="6"/>
        <v>108.05785164535621</v>
      </c>
      <c r="L60" s="43">
        <f t="shared" si="4"/>
        <v>-9.6270321087242858E-2</v>
      </c>
      <c r="M60" s="16">
        <v>114.7113916317268</v>
      </c>
      <c r="N60" s="45">
        <f t="shared" si="7"/>
        <v>-6.1445123958275061E-2</v>
      </c>
      <c r="O60" s="51">
        <v>32106</v>
      </c>
      <c r="P60" s="27">
        <f t="shared" si="9"/>
        <v>81.559761209195983</v>
      </c>
      <c r="Q60" s="7" t="e">
        <v>#N/A</v>
      </c>
      <c r="R60" s="59" t="e">
        <v>#N/A</v>
      </c>
      <c r="S60" s="98">
        <v>17.609262195832599</v>
      </c>
      <c r="T60" s="67">
        <v>1</v>
      </c>
      <c r="U60" s="80">
        <v>58.266517192536398</v>
      </c>
      <c r="V60" s="78">
        <f t="shared" si="10"/>
        <v>63.950499013363384</v>
      </c>
      <c r="W60" s="79">
        <f t="shared" si="11"/>
        <v>63.950499013363384</v>
      </c>
      <c r="X60" s="17">
        <f t="shared" si="12"/>
        <v>59.283787160004607</v>
      </c>
      <c r="Y60" s="43">
        <f t="shared" si="13"/>
        <v>9.7710114680587046E-2</v>
      </c>
      <c r="Z60" s="16">
        <v>78.632573297047571</v>
      </c>
      <c r="AA60" s="45">
        <f t="shared" si="14"/>
        <v>0.52381430320846034</v>
      </c>
    </row>
    <row r="61" spans="1:27" x14ac:dyDescent="0.2">
      <c r="A61" s="4">
        <f t="shared" si="8"/>
        <v>41183</v>
      </c>
      <c r="B61" s="26">
        <v>138008</v>
      </c>
      <c r="C61" s="27">
        <f t="shared" si="0"/>
        <v>82.895612143102767</v>
      </c>
      <c r="D61" s="7" t="e">
        <v>#N/A</v>
      </c>
      <c r="E61" s="8" t="e">
        <v>#N/A</v>
      </c>
      <c r="F61" s="100">
        <v>1.2116746641385501</v>
      </c>
      <c r="G61" s="13">
        <v>0</v>
      </c>
      <c r="H61" s="18">
        <v>99.225402916437005</v>
      </c>
      <c r="I61" s="19">
        <f t="shared" si="1"/>
        <v>68.414083909262956</v>
      </c>
      <c r="J61" s="20">
        <f t="shared" si="3"/>
        <v>99.225402916437005</v>
      </c>
      <c r="K61" s="17">
        <f t="shared" si="6"/>
        <v>97.8496041658058</v>
      </c>
      <c r="L61" s="43">
        <f t="shared" si="4"/>
        <v>-9.923509857306885E-2</v>
      </c>
      <c r="M61" s="16">
        <v>115.1966023523775</v>
      </c>
      <c r="N61" s="45">
        <f t="shared" si="7"/>
        <v>-0.18015379621352312</v>
      </c>
      <c r="O61" s="51">
        <v>33540</v>
      </c>
      <c r="P61" s="27">
        <f t="shared" si="9"/>
        <v>85.202591134256323</v>
      </c>
      <c r="Q61" s="7" t="e">
        <v>#N/A</v>
      </c>
      <c r="R61" s="59" t="e">
        <v>#N/A</v>
      </c>
      <c r="S61" s="98">
        <v>24.588145929824002</v>
      </c>
      <c r="T61" s="67">
        <v>1</v>
      </c>
      <c r="U61" s="80">
        <v>61.620953969785198</v>
      </c>
      <c r="V61" s="78">
        <f t="shared" si="10"/>
        <v>60.614445204432322</v>
      </c>
      <c r="W61" s="79">
        <f t="shared" si="11"/>
        <v>60.614445204432322</v>
      </c>
      <c r="X61" s="17">
        <f t="shared" si="12"/>
        <v>61.616497606418427</v>
      </c>
      <c r="Y61" s="43">
        <f t="shared" si="13"/>
        <v>3.859378805637214E-2</v>
      </c>
      <c r="Z61" s="16">
        <v>81.247011958930415</v>
      </c>
      <c r="AA61" s="45">
        <f t="shared" si="14"/>
        <v>0.58640575724987087</v>
      </c>
    </row>
    <row r="62" spans="1:27" x14ac:dyDescent="0.2">
      <c r="A62" s="4">
        <f t="shared" si="8"/>
        <v>41214</v>
      </c>
      <c r="B62" s="26">
        <v>153248</v>
      </c>
      <c r="C62" s="27">
        <f t="shared" si="0"/>
        <v>92.04964038103742</v>
      </c>
      <c r="D62" s="7" t="e">
        <v>#N/A</v>
      </c>
      <c r="E62" s="8" t="e">
        <v>#N/A</v>
      </c>
      <c r="F62" s="100">
        <v>1.0580892316972601</v>
      </c>
      <c r="G62" s="13">
        <v>1</v>
      </c>
      <c r="H62" s="18">
        <v>95.304731417847904</v>
      </c>
      <c r="I62" s="19">
        <f t="shared" si="1"/>
        <v>86.996103564330213</v>
      </c>
      <c r="J62" s="20">
        <f t="shared" si="3"/>
        <v>86.996103564330213</v>
      </c>
      <c r="K62" s="17">
        <f t="shared" si="6"/>
        <v>92.189299897016241</v>
      </c>
      <c r="L62" s="43">
        <f t="shared" si="4"/>
        <v>-5.9587577867502663E-2</v>
      </c>
      <c r="M62" s="16">
        <v>115.6548354304404</v>
      </c>
      <c r="N62" s="45">
        <f t="shared" si="7"/>
        <v>-0.29134395922461809</v>
      </c>
      <c r="O62" s="51">
        <v>28740</v>
      </c>
      <c r="P62" s="27">
        <f t="shared" si="9"/>
        <v>73.009018163343072</v>
      </c>
      <c r="Q62" s="7" t="e">
        <v>#N/A</v>
      </c>
      <c r="R62" s="59" t="e">
        <v>#N/A</v>
      </c>
      <c r="S62" s="98">
        <v>11.7224171598974</v>
      </c>
      <c r="T62" s="67">
        <v>1</v>
      </c>
      <c r="U62" s="80">
        <v>64.849950044643904</v>
      </c>
      <c r="V62" s="78">
        <f t="shared" si="10"/>
        <v>61.286601003445668</v>
      </c>
      <c r="W62" s="79">
        <f t="shared" si="11"/>
        <v>61.286601003445668</v>
      </c>
      <c r="X62" s="17">
        <f t="shared" si="12"/>
        <v>64.738172739104456</v>
      </c>
      <c r="Y62" s="43">
        <f t="shared" si="13"/>
        <v>4.9421370526701064E-2</v>
      </c>
      <c r="Z62" s="16">
        <v>83.878850747735584</v>
      </c>
      <c r="AA62" s="45">
        <f t="shared" si="14"/>
        <v>0.51878994521060529</v>
      </c>
    </row>
    <row r="63" spans="1:27" x14ac:dyDescent="0.2">
      <c r="A63" s="4">
        <f t="shared" si="8"/>
        <v>41244</v>
      </c>
      <c r="B63" s="26">
        <v>135299</v>
      </c>
      <c r="C63" s="27">
        <f t="shared" si="0"/>
        <v>81.268429564588004</v>
      </c>
      <c r="D63" s="7" t="e">
        <v>#N/A</v>
      </c>
      <c r="E63" s="8" t="e">
        <v>#N/A</v>
      </c>
      <c r="F63" s="100">
        <v>0.850625693006968</v>
      </c>
      <c r="G63" s="13">
        <v>1</v>
      </c>
      <c r="H63" s="18">
        <v>94.3985457536686</v>
      </c>
      <c r="I63" s="19">
        <f t="shared" si="1"/>
        <v>95.539589542967505</v>
      </c>
      <c r="J63" s="20">
        <f t="shared" si="3"/>
        <v>95.539589542967505</v>
      </c>
      <c r="K63" s="17">
        <f t="shared" si="6"/>
        <v>95.563481519379323</v>
      </c>
      <c r="L63" s="43">
        <f t="shared" si="4"/>
        <v>3.5946683954374219E-2</v>
      </c>
      <c r="M63" s="16">
        <v>116.08838278846289</v>
      </c>
      <c r="N63" s="45">
        <f t="shared" si="7"/>
        <v>-0.3617247901789461</v>
      </c>
      <c r="O63" s="51">
        <v>27870</v>
      </c>
      <c r="P63" s="27">
        <f t="shared" si="9"/>
        <v>70.798933062365037</v>
      </c>
      <c r="Q63" s="7" t="e">
        <v>#N/A</v>
      </c>
      <c r="R63" s="59" t="e">
        <v>#N/A</v>
      </c>
      <c r="S63" s="98">
        <v>-4.9661106827291199</v>
      </c>
      <c r="T63" s="67">
        <v>1</v>
      </c>
      <c r="U63" s="80">
        <v>68.887659968123501</v>
      </c>
      <c r="V63" s="78">
        <f t="shared" si="10"/>
        <v>75.765043745094161</v>
      </c>
      <c r="W63" s="79">
        <f t="shared" si="11"/>
        <v>75.765043745094161</v>
      </c>
      <c r="X63" s="17">
        <f t="shared" si="12"/>
        <v>70.600609898358741</v>
      </c>
      <c r="Y63" s="43">
        <f t="shared" si="13"/>
        <v>8.6687759753559857E-2</v>
      </c>
      <c r="Z63" s="16">
        <v>86.526996923818615</v>
      </c>
      <c r="AA63" s="45">
        <f t="shared" si="14"/>
        <v>0.45223739054460554</v>
      </c>
    </row>
    <row r="64" spans="1:27" x14ac:dyDescent="0.2">
      <c r="A64" s="4">
        <f t="shared" si="8"/>
        <v>41275</v>
      </c>
      <c r="B64" s="26">
        <v>158499</v>
      </c>
      <c r="C64" s="27">
        <f t="shared" si="0"/>
        <v>95.203695648583022</v>
      </c>
      <c r="D64" s="7" t="e">
        <v>#N/A</v>
      </c>
      <c r="E64" s="8" t="e">
        <v>#N/A</v>
      </c>
      <c r="F64" s="100">
        <v>0.87457267434963004</v>
      </c>
      <c r="G64" s="13">
        <v>0.66683687840119299</v>
      </c>
      <c r="H64" s="18">
        <v>94.813986193861993</v>
      </c>
      <c r="I64" s="19">
        <f t="shared" si="1"/>
        <v>108.85738651665579</v>
      </c>
      <c r="J64" s="20">
        <f t="shared" si="3"/>
        <v>104.17864342725211</v>
      </c>
      <c r="K64" s="17">
        <f t="shared" si="6"/>
        <v>99.231084873946472</v>
      </c>
      <c r="L64" s="43">
        <f t="shared" si="4"/>
        <v>3.7660566184824495E-2</v>
      </c>
      <c r="M64" s="16">
        <v>116.49935528775779</v>
      </c>
      <c r="N64" s="45">
        <f t="shared" si="7"/>
        <v>-0.39976970905553266</v>
      </c>
      <c r="O64" s="51">
        <v>22087</v>
      </c>
      <c r="P64" s="27">
        <f t="shared" si="9"/>
        <v>56.108217960116853</v>
      </c>
      <c r="Q64" s="7" t="e">
        <v>#N/A</v>
      </c>
      <c r="R64" s="59" t="e">
        <v>#N/A</v>
      </c>
      <c r="S64" s="98">
        <v>-13.4775331396841</v>
      </c>
      <c r="T64" s="67">
        <v>1</v>
      </c>
      <c r="U64" s="80">
        <v>73.694038883064195</v>
      </c>
      <c r="V64" s="78">
        <f t="shared" si="10"/>
        <v>69.585751099800959</v>
      </c>
      <c r="W64" s="79">
        <f t="shared" si="11"/>
        <v>69.585751099800959</v>
      </c>
      <c r="X64" s="17">
        <f t="shared" si="12"/>
        <v>71.977511918618859</v>
      </c>
      <c r="Y64" s="43">
        <f t="shared" si="13"/>
        <v>1.931495251702774E-2</v>
      </c>
      <c r="Z64" s="16">
        <v>89.19021005712257</v>
      </c>
      <c r="AA64" s="45">
        <f t="shared" si="14"/>
        <v>0.44162242084362413</v>
      </c>
    </row>
    <row r="65" spans="1:27" x14ac:dyDescent="0.2">
      <c r="A65" s="4">
        <f t="shared" si="8"/>
        <v>41306</v>
      </c>
      <c r="B65" s="26">
        <v>113745</v>
      </c>
      <c r="C65" s="27">
        <f t="shared" si="0"/>
        <v>68.321846582931599</v>
      </c>
      <c r="D65" s="7" t="e">
        <v>#N/A</v>
      </c>
      <c r="E65" s="8" t="e">
        <v>#N/A</v>
      </c>
      <c r="F65" s="100">
        <v>0.73442663389333795</v>
      </c>
      <c r="G65" s="13">
        <v>1</v>
      </c>
      <c r="H65" s="18">
        <v>94.967706570525607</v>
      </c>
      <c r="I65" s="19">
        <f t="shared" si="1"/>
        <v>93.027463098314186</v>
      </c>
      <c r="J65" s="20">
        <f t="shared" si="3"/>
        <v>93.027463098314186</v>
      </c>
      <c r="K65" s="17">
        <f t="shared" si="6"/>
        <v>96.351147703256146</v>
      </c>
      <c r="L65" s="43">
        <f t="shared" si="4"/>
        <v>-2.9452014186163632E-2</v>
      </c>
      <c r="M65" s="16">
        <v>116.88970541849039</v>
      </c>
      <c r="N65" s="45">
        <f t="shared" si="7"/>
        <v>-0.42619751071913059</v>
      </c>
      <c r="O65" s="51">
        <v>18891</v>
      </c>
      <c r="P65" s="27">
        <f t="shared" si="9"/>
        <v>47.989330623650453</v>
      </c>
      <c r="Q65" s="7" t="e">
        <v>#N/A</v>
      </c>
      <c r="R65" s="59" t="e">
        <v>#N/A</v>
      </c>
      <c r="S65" s="98">
        <v>-24.984171106128901</v>
      </c>
      <c r="T65" s="67">
        <v>1</v>
      </c>
      <c r="U65" s="80">
        <v>79.156277509659105</v>
      </c>
      <c r="V65" s="78">
        <f t="shared" si="10"/>
        <v>72.973501729779358</v>
      </c>
      <c r="W65" s="79">
        <f t="shared" si="11"/>
        <v>72.973501729779358</v>
      </c>
      <c r="X65" s="17">
        <f t="shared" si="12"/>
        <v>75.834418735506887</v>
      </c>
      <c r="Y65" s="43">
        <f t="shared" si="13"/>
        <v>5.2198526850299576E-2</v>
      </c>
      <c r="Z65" s="16">
        <v>91.867126828800224</v>
      </c>
      <c r="AA65" s="45">
        <f t="shared" si="14"/>
        <v>0.63360904507302007</v>
      </c>
    </row>
    <row r="66" spans="1:27" x14ac:dyDescent="0.2">
      <c r="A66" s="4">
        <f t="shared" si="8"/>
        <v>41334</v>
      </c>
      <c r="B66" s="26">
        <v>117664</v>
      </c>
      <c r="C66" s="27">
        <f t="shared" si="0"/>
        <v>70.67582536668921</v>
      </c>
      <c r="D66" s="7" t="e">
        <v>#N/A</v>
      </c>
      <c r="E66" s="8" t="e">
        <v>#N/A</v>
      </c>
      <c r="F66" s="100">
        <v>0.74261917633758701</v>
      </c>
      <c r="G66" s="13">
        <v>1</v>
      </c>
      <c r="H66" s="18">
        <v>93.662447780841106</v>
      </c>
      <c r="I66" s="19">
        <f t="shared" si="1"/>
        <v>95.171021189144071</v>
      </c>
      <c r="J66" s="20">
        <f t="shared" si="3"/>
        <v>95.171021189144071</v>
      </c>
      <c r="K66" s="17">
        <f t="shared" si="6"/>
        <v>96.017463729384531</v>
      </c>
      <c r="L66" s="43">
        <f t="shared" si="4"/>
        <v>-3.4692178319199883E-3</v>
      </c>
      <c r="M66" s="16">
        <v>117.2612524279986</v>
      </c>
      <c r="N66" s="45">
        <f t="shared" si="7"/>
        <v>-0.40269503732896916</v>
      </c>
      <c r="O66" s="51">
        <v>27122</v>
      </c>
      <c r="P66" s="27">
        <f t="shared" si="9"/>
        <v>68.898767941064392</v>
      </c>
      <c r="Q66" s="7" t="e">
        <v>#N/A</v>
      </c>
      <c r="R66" s="59" t="e">
        <v>#N/A</v>
      </c>
      <c r="S66" s="98">
        <v>-18.906152441603499</v>
      </c>
      <c r="T66" s="67">
        <v>1</v>
      </c>
      <c r="U66" s="80">
        <v>85.141448223956999</v>
      </c>
      <c r="V66" s="78">
        <f t="shared" si="10"/>
        <v>87.804920382667888</v>
      </c>
      <c r="W66" s="79">
        <f t="shared" si="11"/>
        <v>87.804920382667888</v>
      </c>
      <c r="X66" s="17">
        <f t="shared" si="12"/>
        <v>86.358370425108831</v>
      </c>
      <c r="Y66" s="43">
        <f t="shared" si="13"/>
        <v>0.12995347329600815</v>
      </c>
      <c r="Z66" s="16">
        <v>94.556251105973487</v>
      </c>
      <c r="AA66" s="45">
        <f t="shared" si="14"/>
        <v>1.0555719212621746</v>
      </c>
    </row>
    <row r="67" spans="1:27" x14ac:dyDescent="0.2">
      <c r="A67" s="4">
        <f t="shared" si="8"/>
        <v>41365</v>
      </c>
      <c r="B67" s="26">
        <v>160321</v>
      </c>
      <c r="C67" s="27">
        <f t="shared" si="0"/>
        <v>96.29809456259332</v>
      </c>
      <c r="D67" s="7" t="e">
        <v>#N/A</v>
      </c>
      <c r="E67" s="8" t="e">
        <v>#N/A</v>
      </c>
      <c r="F67" s="100">
        <v>0.95628361864896505</v>
      </c>
      <c r="G67" s="13">
        <v>1</v>
      </c>
      <c r="H67" s="18">
        <v>91.365799477657504</v>
      </c>
      <c r="I67" s="19">
        <f t="shared" si="1"/>
        <v>100.70034944093575</v>
      </c>
      <c r="J67" s="20">
        <f t="shared" si="3"/>
        <v>100.70034944093575</v>
      </c>
      <c r="K67" s="17">
        <f t="shared" si="6"/>
        <v>94.554831812225302</v>
      </c>
      <c r="L67" s="43">
        <f t="shared" si="4"/>
        <v>-1.5350191723192097E-2</v>
      </c>
      <c r="M67" s="16">
        <v>117.6156570870919</v>
      </c>
      <c r="N67" s="45">
        <f t="shared" si="7"/>
        <v>-0.36547828844454411</v>
      </c>
      <c r="O67" s="51">
        <v>31757</v>
      </c>
      <c r="P67" s="27">
        <f t="shared" si="9"/>
        <v>80.673186841102506</v>
      </c>
      <c r="Q67" s="7" t="e">
        <v>#N/A</v>
      </c>
      <c r="R67" s="59" t="e">
        <v>#N/A</v>
      </c>
      <c r="S67" s="98">
        <v>-16.176952364217701</v>
      </c>
      <c r="T67" s="67">
        <v>1</v>
      </c>
      <c r="U67" s="80">
        <v>91.549470505277498</v>
      </c>
      <c r="V67" s="78">
        <f t="shared" si="10"/>
        <v>96.850139205320204</v>
      </c>
      <c r="W67" s="79">
        <f t="shared" si="11"/>
        <v>96.850139205320204</v>
      </c>
      <c r="X67" s="17">
        <f t="shared" si="12"/>
        <v>94.771354621320484</v>
      </c>
      <c r="Y67" s="43">
        <f t="shared" si="13"/>
        <v>9.2961461245562413E-2</v>
      </c>
      <c r="Z67" s="16">
        <v>97.255963046598993</v>
      </c>
      <c r="AA67" s="45">
        <f t="shared" si="14"/>
        <v>1.4001195660375583</v>
      </c>
    </row>
    <row r="68" spans="1:27" x14ac:dyDescent="0.2">
      <c r="A68" s="4">
        <f t="shared" si="8"/>
        <v>41395</v>
      </c>
      <c r="B68" s="26">
        <v>120693</v>
      </c>
      <c r="C68" s="27">
        <f t="shared" ref="C68:C131" si="15">B68*C$2</f>
        <v>72.495218511879756</v>
      </c>
      <c r="D68" s="7" t="e">
        <v>#N/A</v>
      </c>
      <c r="E68" s="8" t="e">
        <v>#N/A</v>
      </c>
      <c r="F68" s="100">
        <v>1.0041528992936699</v>
      </c>
      <c r="G68" s="13">
        <v>0.46610804881998602</v>
      </c>
      <c r="H68" s="18">
        <v>89.899746268004705</v>
      </c>
      <c r="I68" s="19">
        <f t="shared" ref="I68:I131" si="16">IFERROR(IF($F$2="NIV",C68-F68,C68/F68),NA())</f>
        <v>72.195398293301281</v>
      </c>
      <c r="J68" s="20">
        <f t="shared" ref="J68:J131" si="17">I68*G68+(1-G68)*H68</f>
        <v>81.647607177885618</v>
      </c>
      <c r="K68" s="17">
        <f t="shared" si="6"/>
        <v>86.320563726859831</v>
      </c>
      <c r="L68" s="43">
        <f t="shared" si="4"/>
        <v>-9.1112045456183829E-2</v>
      </c>
      <c r="M68" s="16">
        <v>117.9544162484593</v>
      </c>
      <c r="N68" s="45">
        <f t="shared" si="7"/>
        <v>-0.38366123089911452</v>
      </c>
      <c r="O68" s="51">
        <v>31832</v>
      </c>
      <c r="P68" s="27">
        <f t="shared" si="9"/>
        <v>80.863711418773022</v>
      </c>
      <c r="Q68" s="7" t="e">
        <v>#N/A</v>
      </c>
      <c r="R68" s="59" t="e">
        <v>#N/A</v>
      </c>
      <c r="S68" s="98">
        <v>-16.716508273200599</v>
      </c>
      <c r="T68" s="67">
        <v>1</v>
      </c>
      <c r="U68" s="80">
        <v>97.3955958155817</v>
      </c>
      <c r="V68" s="78">
        <f t="shared" si="10"/>
        <v>97.580219691973625</v>
      </c>
      <c r="W68" s="79">
        <f t="shared" si="11"/>
        <v>97.580219691973625</v>
      </c>
      <c r="X68" s="17">
        <f t="shared" si="12"/>
        <v>96.538844249799311</v>
      </c>
      <c r="Y68" s="43">
        <f t="shared" si="13"/>
        <v>1.8478261279308759E-2</v>
      </c>
      <c r="Z68" s="16">
        <v>99.964579553380787</v>
      </c>
      <c r="AA68" s="45">
        <f t="shared" si="14"/>
        <v>1.2992194738458145</v>
      </c>
    </row>
    <row r="69" spans="1:27" x14ac:dyDescent="0.2">
      <c r="A69" s="4">
        <f t="shared" si="8"/>
        <v>41426</v>
      </c>
      <c r="B69" s="26">
        <v>144813</v>
      </c>
      <c r="C69" s="27">
        <f t="shared" si="15"/>
        <v>86.983089975067685</v>
      </c>
      <c r="D69" s="7" t="e">
        <v>#N/A</v>
      </c>
      <c r="E69" s="8" t="e">
        <v>#N/A</v>
      </c>
      <c r="F69" s="100">
        <v>1.0700778785124301</v>
      </c>
      <c r="G69" s="13">
        <v>1</v>
      </c>
      <c r="H69" s="18">
        <v>91.304418095327506</v>
      </c>
      <c r="I69" s="19">
        <f t="shared" si="16"/>
        <v>81.286691110732349</v>
      </c>
      <c r="J69" s="20">
        <f t="shared" si="17"/>
        <v>81.286691110732349</v>
      </c>
      <c r="K69" s="17">
        <f t="shared" si="6"/>
        <v>85.863274751507163</v>
      </c>
      <c r="L69" s="43">
        <f t="shared" ref="L69:L132" si="18">LN(K69/K68)</f>
        <v>-5.311648927579361E-3</v>
      </c>
      <c r="M69" s="16">
        <v>118.2788488263232</v>
      </c>
      <c r="N69" s="45">
        <f t="shared" si="7"/>
        <v>-0.3565956355237726</v>
      </c>
      <c r="O69" s="51">
        <v>40810</v>
      </c>
      <c r="P69" s="27">
        <f t="shared" si="9"/>
        <v>103.67077352978534</v>
      </c>
      <c r="Q69" s="7" t="e">
        <v>#N/A</v>
      </c>
      <c r="R69" s="59" t="e">
        <v>#N/A</v>
      </c>
      <c r="S69" s="98">
        <v>9.5259751198555005</v>
      </c>
      <c r="T69" s="67">
        <v>1</v>
      </c>
      <c r="U69" s="80">
        <v>102.175655432727</v>
      </c>
      <c r="V69" s="78">
        <f t="shared" si="10"/>
        <v>94.144798409929834</v>
      </c>
      <c r="W69" s="79">
        <f t="shared" si="11"/>
        <v>94.144798409929834</v>
      </c>
      <c r="X69" s="17">
        <f t="shared" si="12"/>
        <v>99.278387133901489</v>
      </c>
      <c r="Y69" s="43">
        <f t="shared" si="13"/>
        <v>2.7982436697832184E-2</v>
      </c>
      <c r="Z69" s="16">
        <v>102.6803983576614</v>
      </c>
      <c r="AA69" s="45">
        <f t="shared" si="14"/>
        <v>1.0698202362093796</v>
      </c>
    </row>
    <row r="70" spans="1:27" x14ac:dyDescent="0.2">
      <c r="A70" s="4">
        <f t="shared" si="8"/>
        <v>41456</v>
      </c>
      <c r="B70" s="26">
        <v>190969</v>
      </c>
      <c r="C70" s="27">
        <f t="shared" si="15"/>
        <v>114.70706158596742</v>
      </c>
      <c r="D70" s="7" t="e">
        <v>#N/A</v>
      </c>
      <c r="E70" s="8" t="e">
        <v>#N/A</v>
      </c>
      <c r="F70" s="100">
        <v>1.15594702199345</v>
      </c>
      <c r="G70" s="13">
        <v>1</v>
      </c>
      <c r="H70" s="18">
        <v>96.097175385346105</v>
      </c>
      <c r="I70" s="19">
        <f t="shared" si="16"/>
        <v>99.232109606678321</v>
      </c>
      <c r="J70" s="20">
        <f t="shared" si="17"/>
        <v>99.232109606678321</v>
      </c>
      <c r="K70" s="17">
        <f t="shared" si="6"/>
        <v>94.414270056512891</v>
      </c>
      <c r="L70" s="43">
        <f t="shared" si="18"/>
        <v>9.493602491562067E-2</v>
      </c>
      <c r="M70" s="16">
        <v>118.59002964653649</v>
      </c>
      <c r="N70" s="45">
        <f t="shared" si="7"/>
        <v>-0.25783035807178023</v>
      </c>
      <c r="O70" s="51">
        <v>50613</v>
      </c>
      <c r="P70" s="27">
        <f t="shared" si="9"/>
        <v>128.57360599517338</v>
      </c>
      <c r="Q70" s="7" t="e">
        <v>#N/A</v>
      </c>
      <c r="R70" s="59" t="e">
        <v>#N/A</v>
      </c>
      <c r="S70" s="98">
        <v>17.329873971400701</v>
      </c>
      <c r="T70" s="67">
        <v>1</v>
      </c>
      <c r="U70" s="80">
        <v>105.157073677575</v>
      </c>
      <c r="V70" s="78">
        <f t="shared" si="10"/>
        <v>111.24373202377268</v>
      </c>
      <c r="W70" s="79">
        <f t="shared" si="11"/>
        <v>111.24373202377268</v>
      </c>
      <c r="X70" s="17">
        <f t="shared" si="12"/>
        <v>105.73351380567405</v>
      </c>
      <c r="Y70" s="43">
        <f t="shared" si="13"/>
        <v>6.2994012819501607E-2</v>
      </c>
      <c r="Z70" s="16">
        <v>105.40169075764111</v>
      </c>
      <c r="AA70" s="45">
        <f t="shared" si="14"/>
        <v>1.0672695358958944</v>
      </c>
    </row>
    <row r="71" spans="1:27" x14ac:dyDescent="0.2">
      <c r="A71" s="4">
        <f t="shared" si="8"/>
        <v>41487</v>
      </c>
      <c r="B71" s="26">
        <v>193324</v>
      </c>
      <c r="C71" s="27">
        <f t="shared" si="15"/>
        <v>116.12161122509708</v>
      </c>
      <c r="D71" s="7" t="e">
        <v>#N/A</v>
      </c>
      <c r="E71" s="8" t="e">
        <v>#N/A</v>
      </c>
      <c r="F71" s="100">
        <v>1.1860499837893199</v>
      </c>
      <c r="G71" s="13">
        <v>1</v>
      </c>
      <c r="H71" s="18">
        <v>102.533409874407</v>
      </c>
      <c r="I71" s="19">
        <f t="shared" si="16"/>
        <v>97.906169901962556</v>
      </c>
      <c r="J71" s="20">
        <f t="shared" si="17"/>
        <v>97.906169901962556</v>
      </c>
      <c r="K71" s="17">
        <f t="shared" ref="K71:K134" si="19">IFERROR((J70+2*J71+J72)/4,(J70+J71*2)/3)</f>
        <v>102.51282577503598</v>
      </c>
      <c r="L71" s="43">
        <f t="shared" si="18"/>
        <v>8.2295692683025071E-2</v>
      </c>
      <c r="M71" s="16">
        <v>118.8887834147823</v>
      </c>
      <c r="N71" s="45">
        <f t="shared" si="7"/>
        <v>-0.13838707140118567</v>
      </c>
      <c r="O71" s="51">
        <v>61897</v>
      </c>
      <c r="P71" s="27">
        <f t="shared" si="9"/>
        <v>157.23866378762861</v>
      </c>
      <c r="Q71" s="7" t="e">
        <v>#N/A</v>
      </c>
      <c r="R71" s="59" t="e">
        <v>#N/A</v>
      </c>
      <c r="S71" s="98">
        <v>15.352269667619201</v>
      </c>
      <c r="T71" s="67">
        <v>0</v>
      </c>
      <c r="U71" s="80">
        <v>106.30179276522099</v>
      </c>
      <c r="V71" s="78">
        <f t="shared" si="10"/>
        <v>141.88639412000941</v>
      </c>
      <c r="W71" s="79">
        <f t="shared" si="11"/>
        <v>106.30179276522099</v>
      </c>
      <c r="X71" s="17">
        <f t="shared" si="12"/>
        <v>108.43011499376655</v>
      </c>
      <c r="Y71" s="43">
        <f t="shared" si="13"/>
        <v>2.5183956063752771E-2</v>
      </c>
      <c r="Z71" s="16">
        <v>108.1267018014329</v>
      </c>
      <c r="AA71" s="45">
        <f t="shared" si="14"/>
        <v>1.0167354975052176</v>
      </c>
    </row>
    <row r="72" spans="1:27" x14ac:dyDescent="0.2">
      <c r="A72" s="4">
        <f t="shared" si="8"/>
        <v>41518</v>
      </c>
      <c r="B72" s="26">
        <v>224570</v>
      </c>
      <c r="C72" s="27">
        <f t="shared" si="15"/>
        <v>134.88977174494659</v>
      </c>
      <c r="D72" s="7" t="e">
        <v>#N/A</v>
      </c>
      <c r="E72" s="8" t="e">
        <v>#N/A</v>
      </c>
      <c r="F72" s="100">
        <v>1.1728846361546399</v>
      </c>
      <c r="G72" s="13">
        <v>1</v>
      </c>
      <c r="H72" s="18">
        <v>108.615381598035</v>
      </c>
      <c r="I72" s="19">
        <f t="shared" si="16"/>
        <v>115.00685368954048</v>
      </c>
      <c r="J72" s="20">
        <f t="shared" si="17"/>
        <v>115.00685368954048</v>
      </c>
      <c r="K72" s="17">
        <f t="shared" si="19"/>
        <v>111.42017371327169</v>
      </c>
      <c r="L72" s="43">
        <f t="shared" si="18"/>
        <v>8.3320483413677884E-2</v>
      </c>
      <c r="M72" s="16">
        <v>119.1757482953887</v>
      </c>
      <c r="N72" s="45">
        <f t="shared" si="7"/>
        <v>3.1115944068095702E-2</v>
      </c>
      <c r="O72" s="51">
        <v>49433</v>
      </c>
      <c r="P72" s="27">
        <f t="shared" si="9"/>
        <v>125.57601930649054</v>
      </c>
      <c r="Q72" s="7" t="e">
        <v>#N/A</v>
      </c>
      <c r="R72" s="59" t="e">
        <v>#N/A</v>
      </c>
      <c r="S72" s="98">
        <v>15.702876885639</v>
      </c>
      <c r="T72" s="67">
        <v>1</v>
      </c>
      <c r="U72" s="80">
        <v>106.82933169203</v>
      </c>
      <c r="V72" s="78">
        <f t="shared" si="10"/>
        <v>109.87314242085154</v>
      </c>
      <c r="W72" s="79">
        <f t="shared" si="11"/>
        <v>109.87314242085154</v>
      </c>
      <c r="X72" s="17">
        <f t="shared" si="12"/>
        <v>106.85750294451431</v>
      </c>
      <c r="Y72" s="43">
        <f t="shared" si="13"/>
        <v>-1.4609665303036373E-2</v>
      </c>
      <c r="Z72" s="16">
        <v>110.8536790975129</v>
      </c>
      <c r="AA72" s="45">
        <f t="shared" si="14"/>
        <v>0.80247430306890011</v>
      </c>
    </row>
    <row r="73" spans="1:27" x14ac:dyDescent="0.2">
      <c r="A73" s="4">
        <f t="shared" si="8"/>
        <v>41548</v>
      </c>
      <c r="B73" s="26">
        <v>245438</v>
      </c>
      <c r="C73" s="27">
        <f t="shared" si="15"/>
        <v>147.42430332429174</v>
      </c>
      <c r="D73" s="7" t="e">
        <v>#N/A</v>
      </c>
      <c r="E73" s="8" t="e">
        <v>#N/A</v>
      </c>
      <c r="F73" s="100">
        <v>1.2518960581612899</v>
      </c>
      <c r="G73" s="13">
        <v>1</v>
      </c>
      <c r="H73" s="18">
        <v>112.429275940343</v>
      </c>
      <c r="I73" s="19">
        <f t="shared" si="16"/>
        <v>117.76081757204328</v>
      </c>
      <c r="J73" s="20">
        <f t="shared" si="17"/>
        <v>117.76081757204328</v>
      </c>
      <c r="K73" s="17">
        <f t="shared" si="19"/>
        <v>117.75099907522264</v>
      </c>
      <c r="L73" s="43">
        <f t="shared" si="18"/>
        <v>5.5263813899156154E-2</v>
      </c>
      <c r="M73" s="16">
        <v>119.4514360949873</v>
      </c>
      <c r="N73" s="45">
        <f t="shared" si="7"/>
        <v>0.20338758729870787</v>
      </c>
      <c r="O73" s="51">
        <v>50063</v>
      </c>
      <c r="P73" s="27">
        <f t="shared" si="9"/>
        <v>127.1764257589229</v>
      </c>
      <c r="Q73" s="7" t="e">
        <v>#N/A</v>
      </c>
      <c r="R73" s="59" t="e">
        <v>#N/A</v>
      </c>
      <c r="S73" s="98">
        <v>25.7944915877897</v>
      </c>
      <c r="T73" s="67">
        <v>1</v>
      </c>
      <c r="U73" s="80">
        <v>107.496907937581</v>
      </c>
      <c r="V73" s="78">
        <f t="shared" si="10"/>
        <v>101.3819341711332</v>
      </c>
      <c r="W73" s="79">
        <f t="shared" si="11"/>
        <v>101.3819341711332</v>
      </c>
      <c r="X73" s="17">
        <f t="shared" si="12"/>
        <v>105.42968838043726</v>
      </c>
      <c r="Y73" s="43">
        <f t="shared" si="13"/>
        <v>-1.3451928831660341E-2</v>
      </c>
      <c r="Z73" s="16">
        <v>113.58087259550869</v>
      </c>
      <c r="AA73" s="45">
        <f t="shared" si="14"/>
        <v>0.71106266139760144</v>
      </c>
    </row>
    <row r="74" spans="1:27" x14ac:dyDescent="0.2">
      <c r="A74" s="4">
        <f t="shared" si="8"/>
        <v>41579</v>
      </c>
      <c r="B74" s="26">
        <v>218046</v>
      </c>
      <c r="C74" s="27">
        <f t="shared" si="15"/>
        <v>130.97107881684386</v>
      </c>
      <c r="D74" s="7" t="e">
        <v>#N/A</v>
      </c>
      <c r="E74" s="8" t="e">
        <v>#N/A</v>
      </c>
      <c r="F74" s="100">
        <v>1.0871178845412399</v>
      </c>
      <c r="G74" s="13">
        <v>1</v>
      </c>
      <c r="H74" s="18">
        <v>112.618271441731</v>
      </c>
      <c r="I74" s="19">
        <f t="shared" si="16"/>
        <v>120.47550746726351</v>
      </c>
      <c r="J74" s="20">
        <f t="shared" si="17"/>
        <v>120.47550746726351</v>
      </c>
      <c r="K74" s="17">
        <f t="shared" si="19"/>
        <v>116.66650128238727</v>
      </c>
      <c r="L74" s="43">
        <f t="shared" si="18"/>
        <v>-9.2527693409914635E-3</v>
      </c>
      <c r="M74" s="16">
        <v>119.7162987778118</v>
      </c>
      <c r="N74" s="45">
        <f t="shared" si="7"/>
        <v>0.26551022095529819</v>
      </c>
      <c r="O74" s="51">
        <v>47499</v>
      </c>
      <c r="P74" s="27">
        <f t="shared" si="9"/>
        <v>120.66302553029341</v>
      </c>
      <c r="Q74" s="7" t="e">
        <v>#N/A</v>
      </c>
      <c r="R74" s="59" t="e">
        <v>#N/A</v>
      </c>
      <c r="S74" s="98">
        <v>11.5812827716623</v>
      </c>
      <c r="T74" s="67">
        <v>1</v>
      </c>
      <c r="U74" s="80">
        <v>108.797047283187</v>
      </c>
      <c r="V74" s="78">
        <f t="shared" si="10"/>
        <v>109.08174275863111</v>
      </c>
      <c r="W74" s="79">
        <f t="shared" si="11"/>
        <v>109.08174275863111</v>
      </c>
      <c r="X74" s="17">
        <f t="shared" si="12"/>
        <v>106.46475106160048</v>
      </c>
      <c r="Y74" s="43">
        <f t="shared" si="13"/>
        <v>9.7696845340086262E-3</v>
      </c>
      <c r="Z74" s="16">
        <v>116.3065014103548</v>
      </c>
      <c r="AA74" s="45">
        <f t="shared" si="14"/>
        <v>0.64454365263991287</v>
      </c>
    </row>
    <row r="75" spans="1:27" x14ac:dyDescent="0.2">
      <c r="A75" s="4">
        <f t="shared" si="8"/>
        <v>41609</v>
      </c>
      <c r="B75" s="26">
        <v>109727</v>
      </c>
      <c r="C75" s="27">
        <f t="shared" si="15"/>
        <v>65.908402655108674</v>
      </c>
      <c r="D75" s="7" t="e">
        <v>#N/A</v>
      </c>
      <c r="E75" s="8" t="e">
        <v>#N/A</v>
      </c>
      <c r="F75" s="100">
        <v>0.82038578115982896</v>
      </c>
      <c r="G75" s="13">
        <v>7.4785457474452005E-2</v>
      </c>
      <c r="H75" s="18">
        <v>110.18637417167599</v>
      </c>
      <c r="I75" s="19">
        <f t="shared" si="16"/>
        <v>80.338304452241942</v>
      </c>
      <c r="J75" s="20">
        <f t="shared" si="17"/>
        <v>107.95417262297877</v>
      </c>
      <c r="K75" s="17">
        <f t="shared" si="19"/>
        <v>109.75177539672008</v>
      </c>
      <c r="L75" s="43">
        <f t="shared" si="18"/>
        <v>-6.1098219674878051E-2</v>
      </c>
      <c r="M75" s="16">
        <v>119.9707751874403</v>
      </c>
      <c r="N75" s="45">
        <f t="shared" si="7"/>
        <v>0.14846983022969407</v>
      </c>
      <c r="O75" s="51">
        <v>40376</v>
      </c>
      <c r="P75" s="27">
        <f t="shared" si="9"/>
        <v>102.5682713069986</v>
      </c>
      <c r="Q75" s="7" t="e">
        <v>#N/A</v>
      </c>
      <c r="R75" s="59" t="e">
        <v>#N/A</v>
      </c>
      <c r="S75" s="98">
        <v>-3.7453132510079099</v>
      </c>
      <c r="T75" s="67">
        <v>1</v>
      </c>
      <c r="U75" s="80">
        <v>111.74407104687999</v>
      </c>
      <c r="V75" s="78">
        <f t="shared" si="10"/>
        <v>106.31358455800651</v>
      </c>
      <c r="W75" s="79">
        <f t="shared" si="11"/>
        <v>106.31358455800651</v>
      </c>
      <c r="X75" s="17">
        <f t="shared" si="12"/>
        <v>110.86235623436311</v>
      </c>
      <c r="Y75" s="43">
        <f t="shared" si="13"/>
        <v>4.0475443491986118E-2</v>
      </c>
      <c r="Z75" s="16">
        <v>119.028721762047</v>
      </c>
      <c r="AA75" s="45">
        <f t="shared" si="14"/>
        <v>0.57027476666232491</v>
      </c>
    </row>
    <row r="76" spans="1:27" x14ac:dyDescent="0.2">
      <c r="A76" s="4">
        <f t="shared" si="8"/>
        <v>41640</v>
      </c>
      <c r="B76" s="26">
        <v>140472</v>
      </c>
      <c r="C76" s="27">
        <f t="shared" si="15"/>
        <v>84.375633506506375</v>
      </c>
      <c r="D76" s="7" t="e">
        <v>#N/A</v>
      </c>
      <c r="E76" s="8" t="e">
        <v>#N/A</v>
      </c>
      <c r="F76" s="100">
        <v>0.82218829000806903</v>
      </c>
      <c r="G76" s="13">
        <v>1</v>
      </c>
      <c r="H76" s="18">
        <v>107.922751501964</v>
      </c>
      <c r="I76" s="19">
        <f t="shared" si="16"/>
        <v>102.62324887365922</v>
      </c>
      <c r="J76" s="20">
        <f t="shared" si="17"/>
        <v>102.62324887365922</v>
      </c>
      <c r="K76" s="17">
        <f t="shared" si="19"/>
        <v>106.3777682779467</v>
      </c>
      <c r="L76" s="43">
        <f t="shared" si="18"/>
        <v>-3.1224618240522018E-2</v>
      </c>
      <c r="M76" s="16">
        <v>120.21528063506361</v>
      </c>
      <c r="N76" s="45">
        <f t="shared" si="7"/>
        <v>7.2020611415048785E-2</v>
      </c>
      <c r="O76" s="51">
        <v>42428</v>
      </c>
      <c r="P76" s="27">
        <f t="shared" si="9"/>
        <v>107.78102375206402</v>
      </c>
      <c r="Q76" s="7" t="e">
        <v>#N/A</v>
      </c>
      <c r="R76" s="59" t="e">
        <v>#N/A</v>
      </c>
      <c r="S76" s="98">
        <v>-13.959489310744299</v>
      </c>
      <c r="T76" s="67">
        <v>1</v>
      </c>
      <c r="U76" s="80">
        <v>117.232817276476</v>
      </c>
      <c r="V76" s="78">
        <f t="shared" si="10"/>
        <v>121.74051306280832</v>
      </c>
      <c r="W76" s="79">
        <f t="shared" si="11"/>
        <v>121.74051306280832</v>
      </c>
      <c r="X76" s="17">
        <f t="shared" si="12"/>
        <v>118.67782603896543</v>
      </c>
      <c r="Y76" s="43">
        <f t="shared" si="13"/>
        <v>6.8123079507247775E-2</v>
      </c>
      <c r="Z76" s="16">
        <v>121.7456139311481</v>
      </c>
      <c r="AA76" s="45">
        <f t="shared" si="14"/>
        <v>0.64881812215387691</v>
      </c>
    </row>
    <row r="77" spans="1:27" x14ac:dyDescent="0.2">
      <c r="A77" s="4">
        <f t="shared" si="8"/>
        <v>41671</v>
      </c>
      <c r="B77" s="26">
        <v>132589</v>
      </c>
      <c r="C77" s="27">
        <f t="shared" si="15"/>
        <v>79.640646328052384</v>
      </c>
      <c r="D77" s="7" t="e">
        <v>#N/A</v>
      </c>
      <c r="E77" s="8" t="e">
        <v>#N/A</v>
      </c>
      <c r="F77" s="100">
        <v>0.70911192894005703</v>
      </c>
      <c r="G77" s="13">
        <v>1</v>
      </c>
      <c r="H77" s="18">
        <v>108.18909261154499</v>
      </c>
      <c r="I77" s="19">
        <f t="shared" si="16"/>
        <v>112.31040274148964</v>
      </c>
      <c r="J77" s="20">
        <f t="shared" si="17"/>
        <v>112.31040274148964</v>
      </c>
      <c r="K77" s="17">
        <f t="shared" si="19"/>
        <v>107.19812299648696</v>
      </c>
      <c r="L77" s="43">
        <f t="shared" si="18"/>
        <v>7.6821288028746217E-3</v>
      </c>
      <c r="M77" s="16">
        <v>120.45015158156311</v>
      </c>
      <c r="N77" s="45">
        <f t="shared" si="7"/>
        <v>0.1125775411273513</v>
      </c>
      <c r="O77" s="51">
        <v>39043</v>
      </c>
      <c r="P77" s="27">
        <f t="shared" si="9"/>
        <v>99.182014479867902</v>
      </c>
      <c r="Q77" s="7" t="e">
        <v>#N/A</v>
      </c>
      <c r="R77" s="59" t="e">
        <v>#N/A</v>
      </c>
      <c r="S77" s="98">
        <v>-25.7346789923707</v>
      </c>
      <c r="T77" s="67">
        <v>1</v>
      </c>
      <c r="U77" s="80">
        <v>124.619223645999</v>
      </c>
      <c r="V77" s="78">
        <f t="shared" si="10"/>
        <v>124.91669347223861</v>
      </c>
      <c r="W77" s="79">
        <f t="shared" si="11"/>
        <v>124.91669347223861</v>
      </c>
      <c r="X77" s="17">
        <f t="shared" si="12"/>
        <v>124.05621398371734</v>
      </c>
      <c r="Y77" s="43">
        <f t="shared" si="13"/>
        <v>4.4322324039841932E-2</v>
      </c>
      <c r="Z77" s="16">
        <v>124.4551951861411</v>
      </c>
      <c r="AA77" s="45">
        <f t="shared" si="14"/>
        <v>0.63588270408450098</v>
      </c>
    </row>
    <row r="78" spans="1:27" x14ac:dyDescent="0.2">
      <c r="A78" s="4">
        <f t="shared" si="8"/>
        <v>41699</v>
      </c>
      <c r="B78" s="26">
        <v>121194</v>
      </c>
      <c r="C78" s="27">
        <f t="shared" si="15"/>
        <v>72.796148180331556</v>
      </c>
      <c r="D78" s="7" t="e">
        <v>#N/A</v>
      </c>
      <c r="E78" s="8" t="e">
        <v>#N/A</v>
      </c>
      <c r="F78" s="100">
        <v>0.71686133120103102</v>
      </c>
      <c r="G78" s="13">
        <v>1</v>
      </c>
      <c r="H78" s="18">
        <v>111.80783718641401</v>
      </c>
      <c r="I78" s="19">
        <f t="shared" si="16"/>
        <v>101.54843762930933</v>
      </c>
      <c r="J78" s="20">
        <f t="shared" si="17"/>
        <v>101.54843762930933</v>
      </c>
      <c r="K78" s="17">
        <f t="shared" si="19"/>
        <v>107.54751890491977</v>
      </c>
      <c r="L78" s="43">
        <f t="shared" si="18"/>
        <v>3.2540471009957659E-3</v>
      </c>
      <c r="M78" s="16">
        <v>120.6756177168939</v>
      </c>
      <c r="N78" s="45">
        <f t="shared" si="7"/>
        <v>0.12008289667004246</v>
      </c>
      <c r="O78" s="51">
        <v>41799</v>
      </c>
      <c r="P78" s="27">
        <f t="shared" si="9"/>
        <v>106.18315762733393</v>
      </c>
      <c r="Q78" s="7" t="e">
        <v>#N/A</v>
      </c>
      <c r="R78" s="59" t="e">
        <v>#N/A</v>
      </c>
      <c r="S78" s="98">
        <v>-18.4677983002499</v>
      </c>
      <c r="T78" s="67">
        <v>1</v>
      </c>
      <c r="U78" s="80">
        <v>132.14033350812599</v>
      </c>
      <c r="V78" s="78">
        <f t="shared" si="10"/>
        <v>124.65095592758382</v>
      </c>
      <c r="W78" s="79">
        <f t="shared" si="11"/>
        <v>124.65095592758382</v>
      </c>
      <c r="X78" s="17">
        <f t="shared" si="12"/>
        <v>128.82081936180205</v>
      </c>
      <c r="Y78" s="43">
        <f t="shared" si="13"/>
        <v>3.7687640159018355E-2</v>
      </c>
      <c r="Z78" s="16">
        <v>127.1554591243077</v>
      </c>
      <c r="AA78" s="45">
        <f t="shared" si="14"/>
        <v>0.49170044232732768</v>
      </c>
    </row>
    <row r="79" spans="1:27" x14ac:dyDescent="0.2">
      <c r="A79" s="4">
        <f t="shared" si="8"/>
        <v>41730</v>
      </c>
      <c r="B79" s="26">
        <v>142470</v>
      </c>
      <c r="C79" s="27">
        <f t="shared" si="15"/>
        <v>85.57574823218836</v>
      </c>
      <c r="D79" s="7" t="e">
        <v>#N/A</v>
      </c>
      <c r="E79" s="8" t="e">
        <v>#N/A</v>
      </c>
      <c r="F79" s="100">
        <v>0.94981949375036001</v>
      </c>
      <c r="G79" s="13">
        <v>0.13377440434275201</v>
      </c>
      <c r="H79" s="18">
        <v>118.595138680704</v>
      </c>
      <c r="I79" s="19">
        <f t="shared" si="16"/>
        <v>90.096853976214703</v>
      </c>
      <c r="J79" s="20">
        <f t="shared" si="17"/>
        <v>114.78279761957077</v>
      </c>
      <c r="K79" s="17">
        <f t="shared" si="19"/>
        <v>116.65105870629637</v>
      </c>
      <c r="L79" s="43">
        <f t="shared" si="18"/>
        <v>8.1254288124933252E-2</v>
      </c>
      <c r="M79" s="16">
        <v>120.8918064777032</v>
      </c>
      <c r="N79" s="45">
        <f t="shared" si="7"/>
        <v>0.23368691446621748</v>
      </c>
      <c r="O79" s="51">
        <v>48837</v>
      </c>
      <c r="P79" s="27">
        <f t="shared" si="9"/>
        <v>124.06198399593548</v>
      </c>
      <c r="Q79" s="7" t="e">
        <v>#N/A</v>
      </c>
      <c r="R79" s="59" t="e">
        <v>#N/A</v>
      </c>
      <c r="S79" s="98">
        <v>-17.002688123866498</v>
      </c>
      <c r="T79" s="67">
        <v>1</v>
      </c>
      <c r="U79" s="80">
        <v>137.92648043782401</v>
      </c>
      <c r="V79" s="78">
        <f t="shared" si="10"/>
        <v>141.06467211980197</v>
      </c>
      <c r="W79" s="79">
        <f t="shared" si="11"/>
        <v>141.06467211980197</v>
      </c>
      <c r="X79" s="17">
        <f t="shared" si="12"/>
        <v>139.55372233206873</v>
      </c>
      <c r="Y79" s="43">
        <f t="shared" si="13"/>
        <v>8.0027191834553049E-2</v>
      </c>
      <c r="Z79" s="16">
        <v>129.84439626436981</v>
      </c>
      <c r="AA79" s="45">
        <f t="shared" si="14"/>
        <v>0.47253062794856016</v>
      </c>
    </row>
    <row r="80" spans="1:27" x14ac:dyDescent="0.2">
      <c r="A80" s="4">
        <f t="shared" si="8"/>
        <v>41760</v>
      </c>
      <c r="B80" s="26">
        <v>229302</v>
      </c>
      <c r="C80" s="27">
        <f t="shared" si="15"/>
        <v>137.73208549966489</v>
      </c>
      <c r="D80" s="7" t="e">
        <v>#N/A</v>
      </c>
      <c r="E80" s="8" t="e">
        <v>#N/A</v>
      </c>
      <c r="F80" s="100">
        <v>1.01654646247886</v>
      </c>
      <c r="G80" s="13">
        <v>1</v>
      </c>
      <c r="H80" s="18">
        <v>127.105774930797</v>
      </c>
      <c r="I80" s="19">
        <f t="shared" si="16"/>
        <v>135.49020195673461</v>
      </c>
      <c r="J80" s="20">
        <f t="shared" si="17"/>
        <v>135.49020195673461</v>
      </c>
      <c r="K80" s="17">
        <f t="shared" si="19"/>
        <v>130.28046465470146</v>
      </c>
      <c r="L80" s="43">
        <f t="shared" si="18"/>
        <v>0.1105024726385205</v>
      </c>
      <c r="M80" s="16">
        <v>121.0987440035794</v>
      </c>
      <c r="N80" s="45">
        <f t="shared" ref="N80:N143" si="20">(K80/K68)-1</f>
        <v>0.50926336703432473</v>
      </c>
      <c r="O80" s="51">
        <v>52703</v>
      </c>
      <c r="P80" s="27">
        <f t="shared" si="9"/>
        <v>133.88289089292519</v>
      </c>
      <c r="Q80" s="7" t="e">
        <v>#N/A</v>
      </c>
      <c r="R80" s="59" t="e">
        <v>#N/A</v>
      </c>
      <c r="S80" s="98">
        <v>-17.5516982681619</v>
      </c>
      <c r="T80" s="67">
        <v>1</v>
      </c>
      <c r="U80" s="80">
        <v>141.04536315085301</v>
      </c>
      <c r="V80" s="78">
        <f t="shared" si="10"/>
        <v>151.4345891610871</v>
      </c>
      <c r="W80" s="79">
        <f t="shared" si="11"/>
        <v>151.4345891610871</v>
      </c>
      <c r="X80" s="17">
        <f t="shared" si="12"/>
        <v>147.36667368322381</v>
      </c>
      <c r="Y80" s="43">
        <f t="shared" si="13"/>
        <v>5.4474226326919527E-2</v>
      </c>
      <c r="Z80" s="16">
        <v>132.52000997504871</v>
      </c>
      <c r="AA80" s="45">
        <f t="shared" si="14"/>
        <v>0.52650132522723014</v>
      </c>
    </row>
    <row r="81" spans="1:27" x14ac:dyDescent="0.2">
      <c r="A81" s="4">
        <f t="shared" si="8"/>
        <v>41791</v>
      </c>
      <c r="B81" s="26">
        <v>250044</v>
      </c>
      <c r="C81" s="27">
        <f t="shared" si="15"/>
        <v>150.19093416838146</v>
      </c>
      <c r="D81" s="7" t="e">
        <v>#N/A</v>
      </c>
      <c r="E81" s="8" t="e">
        <v>#N/A</v>
      </c>
      <c r="F81" s="100">
        <v>1.1095776022158499</v>
      </c>
      <c r="G81" s="13">
        <v>1</v>
      </c>
      <c r="H81" s="18">
        <v>135.39873641722099</v>
      </c>
      <c r="I81" s="19">
        <f t="shared" si="16"/>
        <v>135.3586570857658</v>
      </c>
      <c r="J81" s="20">
        <f t="shared" si="17"/>
        <v>135.3586570857658</v>
      </c>
      <c r="K81" s="17">
        <f t="shared" si="19"/>
        <v>137.02598114872632</v>
      </c>
      <c r="L81" s="43">
        <f t="shared" si="18"/>
        <v>5.0481004282713099E-2</v>
      </c>
      <c r="M81" s="16">
        <v>121.2964237122919</v>
      </c>
      <c r="N81" s="45">
        <f t="shared" si="20"/>
        <v>0.59586250984820599</v>
      </c>
      <c r="O81" s="51">
        <v>60959</v>
      </c>
      <c r="P81" s="27">
        <f t="shared" si="9"/>
        <v>154.85583640289596</v>
      </c>
      <c r="Q81" s="7" t="e">
        <v>#N/A</v>
      </c>
      <c r="R81" s="59" t="e">
        <v>#N/A</v>
      </c>
      <c r="S81" s="98">
        <v>9.3229921119769301</v>
      </c>
      <c r="T81" s="67">
        <v>1</v>
      </c>
      <c r="U81" s="80">
        <v>142.261754875088</v>
      </c>
      <c r="V81" s="78">
        <f t="shared" si="10"/>
        <v>145.53284429091903</v>
      </c>
      <c r="W81" s="79">
        <f t="shared" si="11"/>
        <v>145.53284429091903</v>
      </c>
      <c r="X81" s="17">
        <f t="shared" si="12"/>
        <v>144.49070058719457</v>
      </c>
      <c r="Y81" s="43">
        <f t="shared" si="13"/>
        <v>-1.9708710093403348E-2</v>
      </c>
      <c r="Z81" s="16">
        <v>135.18037854270941</v>
      </c>
      <c r="AA81" s="45">
        <f t="shared" si="14"/>
        <v>0.45540942755559755</v>
      </c>
    </row>
    <row r="82" spans="1:27" x14ac:dyDescent="0.2">
      <c r="A82" s="4">
        <f t="shared" si="8"/>
        <v>41821</v>
      </c>
      <c r="B82" s="26">
        <v>275067</v>
      </c>
      <c r="C82" s="27">
        <f t="shared" si="15"/>
        <v>165.22119982440762</v>
      </c>
      <c r="D82" s="7" t="e">
        <v>#N/A</v>
      </c>
      <c r="E82" s="8" t="e">
        <v>#N/A</v>
      </c>
      <c r="F82" s="100">
        <v>1.1643790114902901</v>
      </c>
      <c r="G82" s="13">
        <v>1</v>
      </c>
      <c r="H82" s="18">
        <v>141.96494730926</v>
      </c>
      <c r="I82" s="19">
        <f t="shared" si="16"/>
        <v>141.89640846663906</v>
      </c>
      <c r="J82" s="20">
        <f t="shared" si="17"/>
        <v>141.89640846663906</v>
      </c>
      <c r="K82" s="17">
        <f t="shared" si="19"/>
        <v>140.14169759251013</v>
      </c>
      <c r="L82" s="43">
        <f t="shared" si="18"/>
        <v>2.2483485146814308E-2</v>
      </c>
      <c r="M82" s="16">
        <v>121.4849098682202</v>
      </c>
      <c r="N82" s="45">
        <f t="shared" si="20"/>
        <v>0.48432750164383509</v>
      </c>
      <c r="O82" s="51">
        <v>59677</v>
      </c>
      <c r="P82" s="27">
        <f t="shared" si="9"/>
        <v>151.59913628858124</v>
      </c>
      <c r="Q82" s="7" t="e">
        <v>#N/A</v>
      </c>
      <c r="R82" s="59" t="e">
        <v>#N/A</v>
      </c>
      <c r="S82" s="98">
        <v>16.136611682728201</v>
      </c>
      <c r="T82" s="67">
        <v>1</v>
      </c>
      <c r="U82" s="80">
        <v>142.86732662983499</v>
      </c>
      <c r="V82" s="78">
        <f t="shared" si="10"/>
        <v>135.46252460585305</v>
      </c>
      <c r="W82" s="79">
        <f t="shared" si="11"/>
        <v>135.46252460585305</v>
      </c>
      <c r="X82" s="17">
        <f t="shared" si="12"/>
        <v>139.55328788714692</v>
      </c>
      <c r="Y82" s="43">
        <f t="shared" si="13"/>
        <v>-3.4768629340001453E-2</v>
      </c>
      <c r="Z82" s="16">
        <v>137.82369481130769</v>
      </c>
      <c r="AA82" s="45">
        <f t="shared" si="14"/>
        <v>0.31985860361767315</v>
      </c>
    </row>
    <row r="83" spans="1:27" x14ac:dyDescent="0.2">
      <c r="A83" s="4">
        <f t="shared" si="8"/>
        <v>41852</v>
      </c>
      <c r="B83" s="26">
        <v>278323</v>
      </c>
      <c r="C83" s="27">
        <f t="shared" si="15"/>
        <v>167.17694234033382</v>
      </c>
      <c r="D83" s="7" t="e">
        <v>#N/A</v>
      </c>
      <c r="E83" s="8" t="e">
        <v>#N/A</v>
      </c>
      <c r="F83" s="100">
        <v>1.18216998451141</v>
      </c>
      <c r="G83" s="13">
        <v>1</v>
      </c>
      <c r="H83" s="18">
        <v>145.85855626592999</v>
      </c>
      <c r="I83" s="19">
        <f t="shared" si="16"/>
        <v>141.41531635099662</v>
      </c>
      <c r="J83" s="20">
        <f t="shared" si="17"/>
        <v>141.41531635099662</v>
      </c>
      <c r="K83" s="17">
        <f t="shared" si="19"/>
        <v>143.62547462232862</v>
      </c>
      <c r="L83" s="43">
        <f t="shared" si="18"/>
        <v>2.4555004341307762E-2</v>
      </c>
      <c r="M83" s="16">
        <v>121.6643881057846</v>
      </c>
      <c r="N83" s="45">
        <f t="shared" si="20"/>
        <v>0.40104883009970083</v>
      </c>
      <c r="O83" s="51">
        <v>62947</v>
      </c>
      <c r="P83" s="27">
        <f t="shared" si="9"/>
        <v>159.90600787501586</v>
      </c>
      <c r="Q83" s="7" t="e">
        <v>#N/A</v>
      </c>
      <c r="R83" s="59" t="e">
        <v>#N/A</v>
      </c>
      <c r="S83" s="98">
        <v>18.1507498290533</v>
      </c>
      <c r="T83" s="67">
        <v>1</v>
      </c>
      <c r="U83" s="80">
        <v>144.02377064206101</v>
      </c>
      <c r="V83" s="78">
        <f t="shared" si="10"/>
        <v>141.75525804596256</v>
      </c>
      <c r="W83" s="79">
        <f t="shared" si="11"/>
        <v>141.75525804596256</v>
      </c>
      <c r="X83" s="17">
        <f t="shared" si="12"/>
        <v>138.85018426863928</v>
      </c>
      <c r="Y83" s="43">
        <f t="shared" si="13"/>
        <v>-5.0509794858803504E-3</v>
      </c>
      <c r="Z83" s="16">
        <v>140.44822346369889</v>
      </c>
      <c r="AA83" s="45">
        <f t="shared" si="14"/>
        <v>0.28055000473458436</v>
      </c>
    </row>
    <row r="84" spans="1:27" x14ac:dyDescent="0.2">
      <c r="A84" s="4">
        <f t="shared" si="8"/>
        <v>41883</v>
      </c>
      <c r="B84" s="26">
        <v>295401</v>
      </c>
      <c r="C84" s="27">
        <f t="shared" si="15"/>
        <v>177.43498002061258</v>
      </c>
      <c r="D84" s="7" t="e">
        <v>#N/A</v>
      </c>
      <c r="E84" s="8" t="e">
        <v>#N/A</v>
      </c>
      <c r="F84" s="100">
        <v>1.18467801068044</v>
      </c>
      <c r="G84" s="13">
        <v>1</v>
      </c>
      <c r="H84" s="18">
        <v>145.78105334754599</v>
      </c>
      <c r="I84" s="19">
        <f t="shared" si="16"/>
        <v>149.77485732068226</v>
      </c>
      <c r="J84" s="20">
        <f t="shared" si="17"/>
        <v>149.77485732068226</v>
      </c>
      <c r="K84" s="17">
        <f t="shared" si="19"/>
        <v>146.79362801998465</v>
      </c>
      <c r="L84" s="43">
        <f t="shared" si="18"/>
        <v>2.1818668622371775E-2</v>
      </c>
      <c r="M84" s="16">
        <v>121.8351880161032</v>
      </c>
      <c r="N84" s="45">
        <f t="shared" si="20"/>
        <v>0.31747800355923772</v>
      </c>
      <c r="O84" s="51">
        <v>59644</v>
      </c>
      <c r="P84" s="27">
        <f t="shared" si="9"/>
        <v>151.5153054744062</v>
      </c>
      <c r="Q84" s="7" t="e">
        <v>#N/A</v>
      </c>
      <c r="R84" s="59" t="e">
        <v>#N/A</v>
      </c>
      <c r="S84" s="98">
        <v>15.087609097627301</v>
      </c>
      <c r="T84" s="67">
        <v>1</v>
      </c>
      <c r="U84" s="80">
        <v>145.88231872060001</v>
      </c>
      <c r="V84" s="78">
        <f t="shared" si="10"/>
        <v>136.4276963767789</v>
      </c>
      <c r="W84" s="79">
        <f t="shared" si="11"/>
        <v>136.4276963767789</v>
      </c>
      <c r="X84" s="17">
        <f t="shared" si="12"/>
        <v>142.50339820058389</v>
      </c>
      <c r="Y84" s="43">
        <f t="shared" si="13"/>
        <v>2.5970305588290353E-2</v>
      </c>
      <c r="Z84" s="16">
        <v>143.05224252836729</v>
      </c>
      <c r="AA84" s="45">
        <f t="shared" si="14"/>
        <v>0.33358345716330917</v>
      </c>
    </row>
    <row r="85" spans="1:27" x14ac:dyDescent="0.2">
      <c r="A85" s="4">
        <f t="shared" si="8"/>
        <v>41913</v>
      </c>
      <c r="B85" s="26">
        <v>308897</v>
      </c>
      <c r="C85" s="27">
        <f t="shared" si="15"/>
        <v>185.54146067016416</v>
      </c>
      <c r="D85" s="7" t="e">
        <v>#N/A</v>
      </c>
      <c r="E85" s="8" t="e">
        <v>#N/A</v>
      </c>
      <c r="F85" s="100">
        <v>1.26901114271124</v>
      </c>
      <c r="G85" s="13">
        <v>1</v>
      </c>
      <c r="H85" s="18">
        <v>140.989092544789</v>
      </c>
      <c r="I85" s="19">
        <f t="shared" si="16"/>
        <v>146.2094810875775</v>
      </c>
      <c r="J85" s="20">
        <f t="shared" si="17"/>
        <v>146.2094810875775</v>
      </c>
      <c r="K85" s="17">
        <f t="shared" si="19"/>
        <v>143.36002576778819</v>
      </c>
      <c r="L85" s="43">
        <f t="shared" si="18"/>
        <v>-2.366858041150827E-2</v>
      </c>
      <c r="M85" s="16">
        <v>121.9978086431199</v>
      </c>
      <c r="N85" s="45">
        <f t="shared" si="20"/>
        <v>0.21748458096908196</v>
      </c>
      <c r="O85" s="51">
        <v>72174</v>
      </c>
      <c r="P85" s="27">
        <f t="shared" si="9"/>
        <v>183.34561158389431</v>
      </c>
      <c r="Q85" s="7" t="e">
        <v>#N/A</v>
      </c>
      <c r="R85" s="59" t="e">
        <v>#N/A</v>
      </c>
      <c r="S85" s="98">
        <v>27.942669581079102</v>
      </c>
      <c r="T85" s="67">
        <v>1</v>
      </c>
      <c r="U85" s="80">
        <v>148.565683531139</v>
      </c>
      <c r="V85" s="78">
        <f t="shared" si="10"/>
        <v>155.40294200281522</v>
      </c>
      <c r="W85" s="79">
        <f t="shared" si="11"/>
        <v>155.40294200281522</v>
      </c>
      <c r="X85" s="17">
        <f t="shared" si="12"/>
        <v>152.0444479191477</v>
      </c>
      <c r="Y85" s="43">
        <f t="shared" si="13"/>
        <v>6.4807052174426838E-2</v>
      </c>
      <c r="Z85" s="16">
        <v>145.63401770324859</v>
      </c>
      <c r="AA85" s="45">
        <f t="shared" si="14"/>
        <v>0.44214073146553967</v>
      </c>
    </row>
    <row r="86" spans="1:27" x14ac:dyDescent="0.2">
      <c r="A86" s="4">
        <f t="shared" si="8"/>
        <v>41944</v>
      </c>
      <c r="B86" s="26">
        <v>243455</v>
      </c>
      <c r="C86" s="27">
        <f t="shared" si="15"/>
        <v>146.23319846892269</v>
      </c>
      <c r="D86" s="7" t="e">
        <v>#N/A</v>
      </c>
      <c r="E86" s="8" t="e">
        <v>#N/A</v>
      </c>
      <c r="F86" s="100">
        <v>1.1141892515760801</v>
      </c>
      <c r="G86" s="13">
        <v>1</v>
      </c>
      <c r="H86" s="18">
        <v>132.183026463408</v>
      </c>
      <c r="I86" s="19">
        <f t="shared" si="16"/>
        <v>131.24628357531546</v>
      </c>
      <c r="J86" s="20">
        <f t="shared" si="17"/>
        <v>131.24628357531546</v>
      </c>
      <c r="K86" s="17">
        <f t="shared" si="19"/>
        <v>133.8451923041153</v>
      </c>
      <c r="L86" s="43">
        <f t="shared" si="18"/>
        <v>-6.86752781819676E-2</v>
      </c>
      <c r="M86" s="16">
        <v>122.15294161133529</v>
      </c>
      <c r="N86" s="45">
        <f t="shared" si="20"/>
        <v>0.1472461317764866</v>
      </c>
      <c r="O86" s="51">
        <v>71396</v>
      </c>
      <c r="P86" s="27">
        <f t="shared" si="9"/>
        <v>181.36923663152547</v>
      </c>
      <c r="Q86" s="7" t="e">
        <v>#N/A</v>
      </c>
      <c r="R86" s="59" t="e">
        <v>#N/A</v>
      </c>
      <c r="S86" s="98">
        <v>11.378998722349399</v>
      </c>
      <c r="T86" s="67">
        <v>0.49397222151502901</v>
      </c>
      <c r="U86" s="80">
        <v>152.113696344446</v>
      </c>
      <c r="V86" s="78">
        <f t="shared" si="10"/>
        <v>169.99023790917607</v>
      </c>
      <c r="W86" s="79">
        <f t="shared" si="11"/>
        <v>160.94421129418146</v>
      </c>
      <c r="X86" s="17">
        <f t="shared" si="12"/>
        <v>157.93557450880218</v>
      </c>
      <c r="Y86" s="43">
        <f t="shared" si="13"/>
        <v>3.8014294977930567E-2</v>
      </c>
      <c r="Z86" s="16">
        <v>148.19181045136619</v>
      </c>
      <c r="AA86" s="45">
        <f t="shared" si="14"/>
        <v>0.48345412856336534</v>
      </c>
    </row>
    <row r="87" spans="1:27" x14ac:dyDescent="0.2">
      <c r="A87" s="4">
        <f t="shared" si="8"/>
        <v>41974</v>
      </c>
      <c r="B87" s="26">
        <v>167076</v>
      </c>
      <c r="C87" s="27">
        <f t="shared" si="15"/>
        <v>100.35553949351514</v>
      </c>
      <c r="D87" s="7" t="e">
        <v>#N/A</v>
      </c>
      <c r="E87" s="8" t="e">
        <v>#N/A</v>
      </c>
      <c r="F87" s="100">
        <v>0.79220518425303199</v>
      </c>
      <c r="G87" s="13">
        <v>1</v>
      </c>
      <c r="H87" s="18">
        <v>119.80248440161</v>
      </c>
      <c r="I87" s="19">
        <f t="shared" si="16"/>
        <v>126.67872097825274</v>
      </c>
      <c r="J87" s="20">
        <f t="shared" si="17"/>
        <v>126.67872097825274</v>
      </c>
      <c r="K87" s="17">
        <f t="shared" si="19"/>
        <v>122.03970909719587</v>
      </c>
      <c r="L87" s="43">
        <f t="shared" si="18"/>
        <v>-9.2337374608518555E-2</v>
      </c>
      <c r="M87" s="16">
        <v>122.30144337717159</v>
      </c>
      <c r="N87" s="45">
        <f t="shared" si="20"/>
        <v>0.11196113826914011</v>
      </c>
      <c r="O87" s="51">
        <v>59514</v>
      </c>
      <c r="P87" s="27">
        <f t="shared" si="9"/>
        <v>151.18506287311064</v>
      </c>
      <c r="Q87" s="7" t="e">
        <v>#N/A</v>
      </c>
      <c r="R87" s="59" t="e">
        <v>#N/A</v>
      </c>
      <c r="S87" s="98">
        <v>-3.2658705709198901</v>
      </c>
      <c r="T87" s="67">
        <v>1</v>
      </c>
      <c r="U87" s="80">
        <v>155.46365381289201</v>
      </c>
      <c r="V87" s="78">
        <f t="shared" si="10"/>
        <v>154.45093344403054</v>
      </c>
      <c r="W87" s="79">
        <f t="shared" si="11"/>
        <v>154.45093344403054</v>
      </c>
      <c r="X87" s="17">
        <f t="shared" si="12"/>
        <v>155.22018542843549</v>
      </c>
      <c r="Y87" s="43">
        <f t="shared" si="13"/>
        <v>-1.7342533556187159E-2</v>
      </c>
      <c r="Z87" s="16">
        <v>150.72393169894221</v>
      </c>
      <c r="AA87" s="45">
        <f t="shared" si="14"/>
        <v>0.40011624054155859</v>
      </c>
    </row>
    <row r="88" spans="1:27" x14ac:dyDescent="0.2">
      <c r="A88" s="4">
        <f t="shared" si="8"/>
        <v>42005</v>
      </c>
      <c r="B88" s="26">
        <v>134435</v>
      </c>
      <c r="C88" s="27">
        <f t="shared" si="15"/>
        <v>80.749461034563367</v>
      </c>
      <c r="D88" s="7" t="e">
        <v>#N/A</v>
      </c>
      <c r="E88" s="8" t="e">
        <v>#N/A</v>
      </c>
      <c r="F88" s="100">
        <v>0.77977282208794196</v>
      </c>
      <c r="G88" s="13">
        <v>1</v>
      </c>
      <c r="H88" s="18">
        <v>105.956385547186</v>
      </c>
      <c r="I88" s="19">
        <f t="shared" si="16"/>
        <v>103.55511085696256</v>
      </c>
      <c r="J88" s="20">
        <f t="shared" si="17"/>
        <v>103.55511085696256</v>
      </c>
      <c r="K88" s="17">
        <f t="shared" si="19"/>
        <v>105.11241705822903</v>
      </c>
      <c r="L88" s="43">
        <f t="shared" si="18"/>
        <v>-0.14931606009542869</v>
      </c>
      <c r="M88" s="16">
        <v>122.4442606150352</v>
      </c>
      <c r="N88" s="45">
        <f t="shared" si="20"/>
        <v>-1.1894884055205335E-2</v>
      </c>
      <c r="O88" s="51">
        <v>53786</v>
      </c>
      <c r="P88" s="27">
        <f t="shared" si="9"/>
        <v>136.6340657944875</v>
      </c>
      <c r="Q88" s="7" t="e">
        <v>#N/A</v>
      </c>
      <c r="R88" s="59" t="e">
        <v>#N/A</v>
      </c>
      <c r="S88" s="98">
        <v>-14.4005977370119</v>
      </c>
      <c r="T88" s="67">
        <v>1</v>
      </c>
      <c r="U88" s="80">
        <v>158.06756650752399</v>
      </c>
      <c r="V88" s="78">
        <f t="shared" si="10"/>
        <v>151.0346635314994</v>
      </c>
      <c r="W88" s="79">
        <f t="shared" si="11"/>
        <v>151.0346635314994</v>
      </c>
      <c r="X88" s="17">
        <f t="shared" si="12"/>
        <v>153.27050709141628</v>
      </c>
      <c r="Y88" s="43">
        <f t="shared" si="13"/>
        <v>-1.264027955235748E-2</v>
      </c>
      <c r="Z88" s="16">
        <v>153.22876755555981</v>
      </c>
      <c r="AA88" s="45">
        <f t="shared" si="14"/>
        <v>0.29148394613407436</v>
      </c>
    </row>
    <row r="89" spans="1:27" x14ac:dyDescent="0.2">
      <c r="A89" s="4">
        <f t="shared" ref="A89:A152" si="21">EDATE(A88,1)</f>
        <v>42036</v>
      </c>
      <c r="B89" s="26">
        <v>99065</v>
      </c>
      <c r="C89" s="27">
        <f t="shared" si="15"/>
        <v>59.50418683667958</v>
      </c>
      <c r="D89" s="7" t="e">
        <v>#N/A</v>
      </c>
      <c r="E89" s="8" t="e">
        <v>#N/A</v>
      </c>
      <c r="F89" s="100">
        <v>0.68663384093994595</v>
      </c>
      <c r="G89" s="13">
        <v>1</v>
      </c>
      <c r="H89" s="18">
        <v>93.438231121452503</v>
      </c>
      <c r="I89" s="19">
        <f t="shared" si="16"/>
        <v>86.660725540738255</v>
      </c>
      <c r="J89" s="20">
        <f t="shared" si="17"/>
        <v>86.660725540738255</v>
      </c>
      <c r="K89" s="17">
        <f t="shared" si="19"/>
        <v>90.054424009563505</v>
      </c>
      <c r="L89" s="43">
        <f t="shared" si="18"/>
        <v>-0.15461621729903044</v>
      </c>
      <c r="M89" s="16">
        <v>122.5823379797783</v>
      </c>
      <c r="N89" s="45">
        <f t="shared" si="20"/>
        <v>-0.15992536536750068</v>
      </c>
      <c r="O89" s="51">
        <v>51625</v>
      </c>
      <c r="P89" s="27">
        <f t="shared" si="9"/>
        <v>131.14441762987425</v>
      </c>
      <c r="Q89" s="7" t="e">
        <v>#N/A</v>
      </c>
      <c r="R89" s="59" t="e">
        <v>#N/A</v>
      </c>
      <c r="S89" s="98">
        <v>-25.417350228761599</v>
      </c>
      <c r="T89" s="67">
        <v>1</v>
      </c>
      <c r="U89" s="80">
        <v>160.88484919445801</v>
      </c>
      <c r="V89" s="78">
        <f t="shared" si="10"/>
        <v>156.56176785863585</v>
      </c>
      <c r="W89" s="79">
        <f t="shared" si="11"/>
        <v>156.56176785863585</v>
      </c>
      <c r="X89" s="17">
        <f t="shared" si="12"/>
        <v>158.5016919187436</v>
      </c>
      <c r="Y89" s="43">
        <f t="shared" si="13"/>
        <v>3.3560887336744803E-2</v>
      </c>
      <c r="Z89" s="16">
        <v>155.70473882412219</v>
      </c>
      <c r="AA89" s="45">
        <f t="shared" si="14"/>
        <v>0.27766023828155273</v>
      </c>
    </row>
    <row r="90" spans="1:27" x14ac:dyDescent="0.2">
      <c r="A90" s="4">
        <f t="shared" si="21"/>
        <v>42064</v>
      </c>
      <c r="B90" s="26">
        <v>96673</v>
      </c>
      <c r="C90" s="27">
        <f t="shared" si="15"/>
        <v>58.067412850778027</v>
      </c>
      <c r="D90" s="7" t="e">
        <v>#N/A</v>
      </c>
      <c r="E90" s="8" t="e">
        <v>#N/A</v>
      </c>
      <c r="F90" s="100">
        <v>0.69674373258747102</v>
      </c>
      <c r="G90" s="13">
        <v>1</v>
      </c>
      <c r="H90" s="18">
        <v>85.051404448010999</v>
      </c>
      <c r="I90" s="19">
        <f t="shared" si="16"/>
        <v>83.341134099814951</v>
      </c>
      <c r="J90" s="20">
        <f t="shared" si="17"/>
        <v>83.341134099814951</v>
      </c>
      <c r="K90" s="17">
        <f t="shared" si="19"/>
        <v>83.690010487679302</v>
      </c>
      <c r="L90" s="43">
        <f t="shared" si="18"/>
        <v>-7.329457742291029E-2</v>
      </c>
      <c r="M90" s="16">
        <v>122.7164863928917</v>
      </c>
      <c r="N90" s="45">
        <f t="shared" si="20"/>
        <v>-0.22183225294422948</v>
      </c>
      <c r="O90" s="51">
        <v>64599</v>
      </c>
      <c r="P90" s="27">
        <f t="shared" si="9"/>
        <v>164.10262923917185</v>
      </c>
      <c r="Q90" s="7" t="e">
        <v>#N/A</v>
      </c>
      <c r="R90" s="59" t="e">
        <v>#N/A</v>
      </c>
      <c r="S90" s="98">
        <v>-18.8862767407139</v>
      </c>
      <c r="T90" s="67">
        <v>0.28192221491189701</v>
      </c>
      <c r="U90" s="80">
        <v>164.68958266622801</v>
      </c>
      <c r="V90" s="78">
        <f t="shared" si="10"/>
        <v>182.98890597988574</v>
      </c>
      <c r="W90" s="79">
        <f t="shared" si="11"/>
        <v>169.84856842620331</v>
      </c>
      <c r="X90" s="17">
        <f t="shared" si="12"/>
        <v>167.51835057359028</v>
      </c>
      <c r="Y90" s="43">
        <f t="shared" si="13"/>
        <v>5.5327633100995102E-2</v>
      </c>
      <c r="Z90" s="16">
        <v>158.1502666295975</v>
      </c>
      <c r="AA90" s="45">
        <f t="shared" si="14"/>
        <v>0.30039811424505514</v>
      </c>
    </row>
    <row r="91" spans="1:27" x14ac:dyDescent="0.2">
      <c r="A91" s="4">
        <f t="shared" si="21"/>
        <v>42095</v>
      </c>
      <c r="B91" s="26">
        <v>128439</v>
      </c>
      <c r="C91" s="27">
        <f t="shared" si="15"/>
        <v>77.147915541475683</v>
      </c>
      <c r="D91" s="7" t="e">
        <v>#N/A</v>
      </c>
      <c r="E91" s="8" t="e">
        <v>#N/A</v>
      </c>
      <c r="F91" s="100">
        <v>0.94756463464698903</v>
      </c>
      <c r="G91" s="13">
        <v>1</v>
      </c>
      <c r="H91" s="18">
        <v>82.064579516498696</v>
      </c>
      <c r="I91" s="19">
        <f t="shared" si="16"/>
        <v>81.417048210349037</v>
      </c>
      <c r="J91" s="20">
        <f t="shared" si="17"/>
        <v>81.417048210349037</v>
      </c>
      <c r="K91" s="17">
        <f t="shared" si="19"/>
        <v>79.871809121905898</v>
      </c>
      <c r="L91" s="43">
        <f t="shared" si="18"/>
        <v>-4.6696657856378651E-2</v>
      </c>
      <c r="M91" s="16">
        <v>122.8472657888755</v>
      </c>
      <c r="N91" s="45">
        <f t="shared" si="20"/>
        <v>-0.31529289140009553</v>
      </c>
      <c r="O91" s="51">
        <v>60217</v>
      </c>
      <c r="P91" s="27">
        <f t="shared" si="9"/>
        <v>152.97091324780897</v>
      </c>
      <c r="Q91" s="7" t="e">
        <v>#N/A</v>
      </c>
      <c r="R91" s="59" t="e">
        <v>#N/A</v>
      </c>
      <c r="S91" s="98">
        <v>-20.8435843355097</v>
      </c>
      <c r="T91" s="67">
        <v>1</v>
      </c>
      <c r="U91" s="80">
        <v>168.802364539042</v>
      </c>
      <c r="V91" s="78">
        <f t="shared" si="10"/>
        <v>173.81449758331865</v>
      </c>
      <c r="W91" s="79">
        <f t="shared" si="11"/>
        <v>173.81449758331865</v>
      </c>
      <c r="X91" s="17">
        <f t="shared" si="12"/>
        <v>170.19214492132926</v>
      </c>
      <c r="Y91" s="43">
        <f t="shared" si="13"/>
        <v>1.583516209807756E-2</v>
      </c>
      <c r="Z91" s="16">
        <v>160.56379367837559</v>
      </c>
      <c r="AA91" s="45">
        <f t="shared" si="14"/>
        <v>0.21954572101169934</v>
      </c>
    </row>
    <row r="92" spans="1:27" x14ac:dyDescent="0.2">
      <c r="A92" s="4">
        <f t="shared" si="21"/>
        <v>42125</v>
      </c>
      <c r="B92" s="26">
        <v>131226</v>
      </c>
      <c r="C92" s="27">
        <f t="shared" si="15"/>
        <v>78.821949445617676</v>
      </c>
      <c r="D92" s="7" t="e">
        <v>#N/A</v>
      </c>
      <c r="E92" s="8" t="e">
        <v>#N/A</v>
      </c>
      <c r="F92" s="100">
        <v>1.0751574507588699</v>
      </c>
      <c r="G92" s="13">
        <v>1</v>
      </c>
      <c r="H92" s="18">
        <v>83.647774801587801</v>
      </c>
      <c r="I92" s="19">
        <f t="shared" si="16"/>
        <v>73.312005967110579</v>
      </c>
      <c r="J92" s="20">
        <f t="shared" si="17"/>
        <v>73.312005967110579</v>
      </c>
      <c r="K92" s="17">
        <f t="shared" si="19"/>
        <v>81.566684567551903</v>
      </c>
      <c r="L92" s="43">
        <f t="shared" si="18"/>
        <v>2.0997937739539733E-2</v>
      </c>
      <c r="M92" s="16">
        <v>122.9749349720153</v>
      </c>
      <c r="N92" s="45">
        <f t="shared" si="20"/>
        <v>-0.37391469408910816</v>
      </c>
      <c r="O92" s="51">
        <v>54562</v>
      </c>
      <c r="P92" s="27">
        <f t="shared" ref="P92:P155" si="22">O92*P$2</f>
        <v>138.60536009145179</v>
      </c>
      <c r="Q92" s="7" t="e">
        <v>#N/A</v>
      </c>
      <c r="R92" s="59" t="e">
        <v>#N/A</v>
      </c>
      <c r="S92" s="98">
        <v>-18.219339374668301</v>
      </c>
      <c r="T92" s="67">
        <v>0.59408874908855802</v>
      </c>
      <c r="U92" s="80">
        <v>172.755069988831</v>
      </c>
      <c r="V92" s="78">
        <f t="shared" ref="V92:V155" si="23">IFERROR(IF($S$2="NIV",P92-S92,P92/S92),NA())</f>
        <v>156.82469946612008</v>
      </c>
      <c r="W92" s="79">
        <f t="shared" ref="W92:W155" si="24">V92*T92+(1-T92)*U92</f>
        <v>163.29101609247641</v>
      </c>
      <c r="X92" s="17">
        <f t="shared" si="12"/>
        <v>169.99358085699822</v>
      </c>
      <c r="Y92" s="43">
        <f t="shared" si="13"/>
        <v>-1.1673863530096693E-3</v>
      </c>
      <c r="Z92" s="16">
        <v>162.9438349614515</v>
      </c>
      <c r="AA92" s="45">
        <f t="shared" si="14"/>
        <v>0.15354154781570717</v>
      </c>
    </row>
    <row r="93" spans="1:27" x14ac:dyDescent="0.2">
      <c r="A93" s="4">
        <f t="shared" si="21"/>
        <v>42156</v>
      </c>
      <c r="B93" s="26">
        <v>190445</v>
      </c>
      <c r="C93" s="27">
        <f t="shared" si="15"/>
        <v>114.39231678303581</v>
      </c>
      <c r="D93" s="7" t="e">
        <v>#N/A</v>
      </c>
      <c r="E93" s="8" t="e">
        <v>#N/A</v>
      </c>
      <c r="F93" s="100">
        <v>1.1645866841124799</v>
      </c>
      <c r="G93" s="13">
        <v>1</v>
      </c>
      <c r="H93" s="18">
        <v>87.993895347198901</v>
      </c>
      <c r="I93" s="19">
        <f t="shared" si="16"/>
        <v>98.225678125637401</v>
      </c>
      <c r="J93" s="20">
        <f t="shared" si="17"/>
        <v>98.225678125637401</v>
      </c>
      <c r="K93" s="17">
        <f t="shared" si="19"/>
        <v>89.854291016174813</v>
      </c>
      <c r="L93" s="43">
        <f t="shared" si="18"/>
        <v>9.676846839889694E-2</v>
      </c>
      <c r="M93" s="16">
        <v>123.0994211458498</v>
      </c>
      <c r="N93" s="45">
        <f t="shared" si="20"/>
        <v>-0.34425362064258402</v>
      </c>
      <c r="O93" s="51">
        <v>74464</v>
      </c>
      <c r="P93" s="27">
        <f t="shared" si="22"/>
        <v>189.16296202210086</v>
      </c>
      <c r="Q93" s="7" t="e">
        <v>#N/A</v>
      </c>
      <c r="R93" s="59" t="e">
        <v>#N/A</v>
      </c>
      <c r="S93" s="98">
        <v>9.5851683623794592</v>
      </c>
      <c r="T93" s="67">
        <v>1</v>
      </c>
      <c r="U93" s="80">
        <v>175.351547129507</v>
      </c>
      <c r="V93" s="78">
        <f t="shared" si="23"/>
        <v>179.57779365972141</v>
      </c>
      <c r="W93" s="79">
        <f t="shared" si="24"/>
        <v>179.57779365972141</v>
      </c>
      <c r="X93" s="17">
        <f t="shared" ref="X93:X156" si="25">IFERROR((W92+2*W93+W94)/4,(W92+W93*2)/3)</f>
        <v>177.18915091113865</v>
      </c>
      <c r="Y93" s="43">
        <f t="shared" si="13"/>
        <v>4.1457134517574913E-2</v>
      </c>
      <c r="Z93" s="16">
        <v>165.28897976264639</v>
      </c>
      <c r="AA93" s="45">
        <f t="shared" si="14"/>
        <v>0.22630141726118791</v>
      </c>
    </row>
    <row r="94" spans="1:27" x14ac:dyDescent="0.2">
      <c r="A94" s="4">
        <f t="shared" si="21"/>
        <v>42186</v>
      </c>
      <c r="B94" s="26">
        <v>176765</v>
      </c>
      <c r="C94" s="27">
        <f t="shared" si="15"/>
        <v>106.17531505764565</v>
      </c>
      <c r="D94" s="7" t="e">
        <v>#N/A</v>
      </c>
      <c r="E94" s="8" t="e">
        <v>#N/A</v>
      </c>
      <c r="F94" s="100">
        <v>1.1842812337133599</v>
      </c>
      <c r="G94" s="13">
        <v>1</v>
      </c>
      <c r="H94" s="18">
        <v>93.052024550097002</v>
      </c>
      <c r="I94" s="19">
        <f t="shared" si="16"/>
        <v>89.653801846313826</v>
      </c>
      <c r="J94" s="20">
        <f t="shared" si="17"/>
        <v>89.653801846313826</v>
      </c>
      <c r="K94" s="17">
        <f t="shared" si="19"/>
        <v>96.34958814515295</v>
      </c>
      <c r="L94" s="43">
        <f t="shared" si="18"/>
        <v>6.9793750638320773E-2</v>
      </c>
      <c r="M94" s="16">
        <v>123.2203320058133</v>
      </c>
      <c r="N94" s="45">
        <f t="shared" si="20"/>
        <v>-0.31248450817751228</v>
      </c>
      <c r="O94" s="51">
        <v>78868</v>
      </c>
      <c r="P94" s="27">
        <f t="shared" si="22"/>
        <v>200.35056522291376</v>
      </c>
      <c r="Q94" s="7" t="e">
        <v>#N/A</v>
      </c>
      <c r="R94" s="59" t="e">
        <v>#N/A</v>
      </c>
      <c r="S94" s="98">
        <v>14.0405649902783</v>
      </c>
      <c r="T94" s="67">
        <v>1</v>
      </c>
      <c r="U94" s="80">
        <v>176.452990406959</v>
      </c>
      <c r="V94" s="78">
        <f t="shared" si="23"/>
        <v>186.31000023263545</v>
      </c>
      <c r="W94" s="79">
        <f t="shared" si="24"/>
        <v>186.31000023263545</v>
      </c>
      <c r="X94" s="17">
        <f t="shared" si="25"/>
        <v>180.30041764817051</v>
      </c>
      <c r="Y94" s="43">
        <f t="shared" ref="Y94:Y157" si="26">LN(X94/X93)</f>
        <v>1.7406635423318158E-2</v>
      </c>
      <c r="Z94" s="16">
        <v>167.5978717619756</v>
      </c>
      <c r="AA94" s="45">
        <f t="shared" si="14"/>
        <v>0.29198258513246</v>
      </c>
    </row>
    <row r="95" spans="1:27" x14ac:dyDescent="0.2">
      <c r="A95" s="4">
        <f t="shared" si="21"/>
        <v>42217</v>
      </c>
      <c r="B95" s="26">
        <v>208493</v>
      </c>
      <c r="C95" s="27">
        <f t="shared" si="15"/>
        <v>125.23299274355055</v>
      </c>
      <c r="D95" s="7" t="e">
        <v>#N/A</v>
      </c>
      <c r="E95" s="8" t="e">
        <v>#N/A</v>
      </c>
      <c r="F95" s="100">
        <v>1.1399915984554001</v>
      </c>
      <c r="G95" s="13">
        <v>0.85585138392454396</v>
      </c>
      <c r="H95" s="18">
        <v>96.0543789939954</v>
      </c>
      <c r="I95" s="19">
        <f t="shared" si="16"/>
        <v>109.85431200829156</v>
      </c>
      <c r="J95" s="20">
        <f t="shared" si="17"/>
        <v>107.86507076234678</v>
      </c>
      <c r="K95" s="17">
        <f t="shared" si="19"/>
        <v>99.715876882254292</v>
      </c>
      <c r="L95" s="43">
        <f t="shared" si="18"/>
        <v>3.4341790570681055E-2</v>
      </c>
      <c r="M95" s="16">
        <v>123.3370187262741</v>
      </c>
      <c r="N95" s="45">
        <f t="shared" si="20"/>
        <v>-0.30572290783050238</v>
      </c>
      <c r="O95" s="51">
        <v>72603</v>
      </c>
      <c r="P95" s="27">
        <f t="shared" si="22"/>
        <v>184.43541216816968</v>
      </c>
      <c r="Q95" s="7" t="e">
        <v>#N/A</v>
      </c>
      <c r="R95" s="59" t="e">
        <v>#N/A</v>
      </c>
      <c r="S95" s="98">
        <v>21.633693066216502</v>
      </c>
      <c r="T95" s="67">
        <v>0.55651082962527099</v>
      </c>
      <c r="U95" s="80">
        <v>176.786631880085</v>
      </c>
      <c r="V95" s="78">
        <f t="shared" si="23"/>
        <v>162.80171910195318</v>
      </c>
      <c r="W95" s="79">
        <f t="shared" si="24"/>
        <v>169.00387646768979</v>
      </c>
      <c r="X95" s="17">
        <f t="shared" si="25"/>
        <v>173.46129400560559</v>
      </c>
      <c r="Y95" s="43">
        <f t="shared" si="26"/>
        <v>-3.8669961419598019E-2</v>
      </c>
      <c r="Z95" s="16">
        <v>169.86924646176249</v>
      </c>
      <c r="AA95" s="45">
        <f t="shared" si="14"/>
        <v>0.24926945483920093</v>
      </c>
    </row>
    <row r="96" spans="1:27" x14ac:dyDescent="0.2">
      <c r="A96" s="4">
        <f t="shared" si="21"/>
        <v>42248</v>
      </c>
      <c r="B96" s="26">
        <v>182871</v>
      </c>
      <c r="C96" s="27">
        <f t="shared" si="15"/>
        <v>109.84293293302812</v>
      </c>
      <c r="D96" s="7" t="e">
        <v>#N/A</v>
      </c>
      <c r="E96" s="8" t="e">
        <v>#N/A</v>
      </c>
      <c r="F96" s="100">
        <v>1.1750475510065399</v>
      </c>
      <c r="G96" s="13">
        <v>1</v>
      </c>
      <c r="H96" s="18">
        <v>96.699882040918197</v>
      </c>
      <c r="I96" s="19">
        <f t="shared" si="16"/>
        <v>93.479564158009779</v>
      </c>
      <c r="J96" s="20">
        <f t="shared" si="17"/>
        <v>93.479564158009779</v>
      </c>
      <c r="K96" s="17">
        <f t="shared" si="19"/>
        <v>97.784542093570835</v>
      </c>
      <c r="L96" s="43">
        <f t="shared" si="18"/>
        <v>-1.9558402606033257E-2</v>
      </c>
      <c r="M96" s="16">
        <v>123.4486251456136</v>
      </c>
      <c r="N96" s="45">
        <f t="shared" si="20"/>
        <v>-0.33386385081879488</v>
      </c>
      <c r="O96" s="51">
        <v>73144</v>
      </c>
      <c r="P96" s="27">
        <f t="shared" si="22"/>
        <v>185.8097294550997</v>
      </c>
      <c r="Q96" s="7" t="e">
        <v>#N/A</v>
      </c>
      <c r="R96" s="59" t="e">
        <v>#N/A</v>
      </c>
      <c r="S96" s="98">
        <v>16.282306600692401</v>
      </c>
      <c r="T96" s="67">
        <v>1</v>
      </c>
      <c r="U96" s="80">
        <v>177.40328462865</v>
      </c>
      <c r="V96" s="78">
        <f t="shared" si="23"/>
        <v>169.52742285440729</v>
      </c>
      <c r="W96" s="79">
        <f t="shared" si="24"/>
        <v>169.52742285440729</v>
      </c>
      <c r="X96" s="17">
        <f t="shared" si="25"/>
        <v>174.11465744084936</v>
      </c>
      <c r="Y96" s="43">
        <f t="shared" si="26"/>
        <v>3.7595478173255456E-3</v>
      </c>
      <c r="Z96" s="16">
        <v>172.1019373777946</v>
      </c>
      <c r="AA96" s="45">
        <f t="shared" si="14"/>
        <v>0.22182810823760368</v>
      </c>
    </row>
    <row r="97" spans="1:27" x14ac:dyDescent="0.2">
      <c r="A97" s="4">
        <f t="shared" si="21"/>
        <v>42278</v>
      </c>
      <c r="B97" s="26">
        <v>199680</v>
      </c>
      <c r="C97" s="27">
        <f t="shared" si="15"/>
        <v>119.93939360569503</v>
      </c>
      <c r="D97" s="7" t="e">
        <v>#N/A</v>
      </c>
      <c r="E97" s="8" t="e">
        <v>#N/A</v>
      </c>
      <c r="F97" s="100">
        <v>1.24529592625542</v>
      </c>
      <c r="G97" s="13">
        <v>1</v>
      </c>
      <c r="H97" s="18">
        <v>96.342686149299197</v>
      </c>
      <c r="I97" s="19">
        <f t="shared" si="16"/>
        <v>96.313969295916991</v>
      </c>
      <c r="J97" s="20">
        <f t="shared" si="17"/>
        <v>96.313969295916991</v>
      </c>
      <c r="K97" s="17">
        <f t="shared" si="19"/>
        <v>96.089426881263989</v>
      </c>
      <c r="L97" s="43">
        <f t="shared" si="18"/>
        <v>-1.748722036942468E-2</v>
      </c>
      <c r="M97" s="16">
        <v>123.5541128403174</v>
      </c>
      <c r="N97" s="45">
        <f t="shared" si="20"/>
        <v>-0.32973347091254157</v>
      </c>
      <c r="O97" s="51">
        <v>86136</v>
      </c>
      <c r="P97" s="27">
        <f t="shared" si="22"/>
        <v>218.81366696303823</v>
      </c>
      <c r="Q97" s="7" t="e">
        <v>#N/A</v>
      </c>
      <c r="R97" s="59" t="e">
        <v>#N/A</v>
      </c>
      <c r="S97" s="98">
        <v>30.413759376145201</v>
      </c>
      <c r="T97" s="67">
        <v>1</v>
      </c>
      <c r="U97" s="80">
        <v>178.841220429082</v>
      </c>
      <c r="V97" s="78">
        <f t="shared" si="23"/>
        <v>188.39990758689302</v>
      </c>
      <c r="W97" s="79">
        <f t="shared" si="24"/>
        <v>188.39990758689302</v>
      </c>
      <c r="X97" s="17">
        <f t="shared" si="25"/>
        <v>179.92552558542351</v>
      </c>
      <c r="Y97" s="43">
        <f t="shared" si="26"/>
        <v>3.2828985514508933E-2</v>
      </c>
      <c r="Z97" s="16">
        <v>174.29480574228481</v>
      </c>
      <c r="AA97" s="45">
        <f t="shared" si="14"/>
        <v>0.18337452006864519</v>
      </c>
    </row>
    <row r="98" spans="1:27" x14ac:dyDescent="0.2">
      <c r="A98" s="4">
        <f t="shared" si="21"/>
        <v>42309</v>
      </c>
      <c r="B98" s="26">
        <v>182761</v>
      </c>
      <c r="C98" s="27">
        <f t="shared" si="15"/>
        <v>109.77686055073332</v>
      </c>
      <c r="D98" s="7" t="e">
        <v>#N/A</v>
      </c>
      <c r="E98" s="8" t="e">
        <v>#N/A</v>
      </c>
      <c r="F98" s="100">
        <v>1.11731940713908</v>
      </c>
      <c r="G98" s="13">
        <v>1</v>
      </c>
      <c r="H98" s="18">
        <v>96.562632165231705</v>
      </c>
      <c r="I98" s="19">
        <f t="shared" si="16"/>
        <v>98.250204775212211</v>
      </c>
      <c r="J98" s="20">
        <f t="shared" si="17"/>
        <v>98.250204775212211</v>
      </c>
      <c r="K98" s="17">
        <f t="shared" si="19"/>
        <v>97.923559468525099</v>
      </c>
      <c r="L98" s="43">
        <f t="shared" si="18"/>
        <v>1.8907881008672255E-2</v>
      </c>
      <c r="M98" s="16">
        <v>123.65224536153799</v>
      </c>
      <c r="N98" s="45">
        <f t="shared" si="20"/>
        <v>-0.2683819434766932</v>
      </c>
      <c r="O98" s="51">
        <v>73433</v>
      </c>
      <c r="P98" s="27">
        <f t="shared" si="22"/>
        <v>186.54388416105678</v>
      </c>
      <c r="Q98" s="7" t="e">
        <v>#N/A</v>
      </c>
      <c r="R98" s="59" t="e">
        <v>#N/A</v>
      </c>
      <c r="S98" s="98">
        <v>13.169019847555999</v>
      </c>
      <c r="T98" s="67">
        <v>1</v>
      </c>
      <c r="U98" s="80">
        <v>180.98118536610201</v>
      </c>
      <c r="V98" s="78">
        <f t="shared" si="23"/>
        <v>173.37486431350078</v>
      </c>
      <c r="W98" s="79">
        <f t="shared" si="24"/>
        <v>173.37486431350078</v>
      </c>
      <c r="X98" s="17">
        <f t="shared" si="25"/>
        <v>180.04555684579441</v>
      </c>
      <c r="Y98" s="43">
        <f t="shared" si="26"/>
        <v>6.6689392941704582E-4</v>
      </c>
      <c r="Z98" s="16">
        <v>176.44672831769151</v>
      </c>
      <c r="AA98" s="45">
        <f t="shared" si="14"/>
        <v>0.13999368037097937</v>
      </c>
    </row>
    <row r="99" spans="1:27" x14ac:dyDescent="0.2">
      <c r="A99" s="4">
        <f t="shared" si="21"/>
        <v>42339</v>
      </c>
      <c r="B99" s="26">
        <v>79804</v>
      </c>
      <c r="C99" s="27">
        <f t="shared" si="15"/>
        <v>47.934912696859406</v>
      </c>
      <c r="D99" s="7" t="e">
        <v>#N/A</v>
      </c>
      <c r="E99" s="8" t="e">
        <v>#N/A</v>
      </c>
      <c r="F99" s="100">
        <v>0.77677926280619103</v>
      </c>
      <c r="G99" s="13">
        <v>0</v>
      </c>
      <c r="H99" s="18">
        <v>98.879859027758997</v>
      </c>
      <c r="I99" s="19">
        <f t="shared" si="16"/>
        <v>61.709825418986917</v>
      </c>
      <c r="J99" s="20">
        <f t="shared" si="17"/>
        <v>98.879859027758997</v>
      </c>
      <c r="K99" s="17">
        <f t="shared" si="19"/>
        <v>95.79182039329055</v>
      </c>
      <c r="L99" s="43">
        <f t="shared" si="18"/>
        <v>-2.2009869669259177E-2</v>
      </c>
      <c r="M99" s="16">
        <v>123.74157434155489</v>
      </c>
      <c r="N99" s="45">
        <f t="shared" si="20"/>
        <v>-0.21507662463371457</v>
      </c>
      <c r="O99" s="51">
        <v>71970</v>
      </c>
      <c r="P99" s="27">
        <f t="shared" si="22"/>
        <v>182.82738473263049</v>
      </c>
      <c r="Q99" s="7" t="e">
        <v>#N/A</v>
      </c>
      <c r="R99" s="59" t="e">
        <v>#N/A</v>
      </c>
      <c r="S99" s="98">
        <v>-2.2052064366525901</v>
      </c>
      <c r="T99" s="67">
        <v>1</v>
      </c>
      <c r="U99" s="80">
        <v>183.41306134930699</v>
      </c>
      <c r="V99" s="78">
        <f t="shared" si="23"/>
        <v>185.03259116928308</v>
      </c>
      <c r="W99" s="79">
        <f t="shared" si="24"/>
        <v>185.03259116928308</v>
      </c>
      <c r="X99" s="17">
        <f t="shared" si="25"/>
        <v>182.20875875419529</v>
      </c>
      <c r="Y99" s="43">
        <f t="shared" si="26"/>
        <v>1.1943143411710419E-2</v>
      </c>
      <c r="Z99" s="16">
        <v>178.55662531337981</v>
      </c>
      <c r="AA99" s="45">
        <f t="shared" si="14"/>
        <v>0.17387283265553721</v>
      </c>
    </row>
    <row r="100" spans="1:27" x14ac:dyDescent="0.2">
      <c r="A100" s="4">
        <f t="shared" si="21"/>
        <v>42370</v>
      </c>
      <c r="B100" s="26">
        <v>102682</v>
      </c>
      <c r="C100" s="27">
        <f t="shared" si="15"/>
        <v>61.676766898136904</v>
      </c>
      <c r="D100" s="7" t="e">
        <v>#N/A</v>
      </c>
      <c r="E100" s="8" t="e">
        <v>#N/A</v>
      </c>
      <c r="F100" s="100">
        <v>0.74449030472325295</v>
      </c>
      <c r="G100" s="13">
        <v>0.79567332275817604</v>
      </c>
      <c r="H100" s="18">
        <v>103.95300116308501</v>
      </c>
      <c r="I100" s="19">
        <f t="shared" si="16"/>
        <v>82.844284884359666</v>
      </c>
      <c r="J100" s="20">
        <f t="shared" si="17"/>
        <v>87.15735874243201</v>
      </c>
      <c r="K100" s="17">
        <f t="shared" si="19"/>
        <v>99.728936271768347</v>
      </c>
      <c r="L100" s="43">
        <f t="shared" si="18"/>
        <v>4.0278569060569647E-2</v>
      </c>
      <c r="M100" s="16">
        <v>123.82045288883739</v>
      </c>
      <c r="N100" s="45">
        <f t="shared" si="20"/>
        <v>-5.121641131588095E-2</v>
      </c>
      <c r="O100" s="51">
        <v>66620</v>
      </c>
      <c r="P100" s="27">
        <f t="shared" si="22"/>
        <v>169.23663152546678</v>
      </c>
      <c r="Q100" s="7" t="e">
        <v>#N/A</v>
      </c>
      <c r="R100" s="59" t="e">
        <v>#N/A</v>
      </c>
      <c r="S100" s="98">
        <v>-16.1583568392474</v>
      </c>
      <c r="T100" s="67">
        <v>1</v>
      </c>
      <c r="U100" s="80">
        <v>185.60838793833</v>
      </c>
      <c r="V100" s="78">
        <f t="shared" si="23"/>
        <v>185.39498836471418</v>
      </c>
      <c r="W100" s="79">
        <f t="shared" si="24"/>
        <v>185.39498836471418</v>
      </c>
      <c r="X100" s="17">
        <f t="shared" si="25"/>
        <v>186.83910927223909</v>
      </c>
      <c r="Y100" s="43">
        <f t="shared" si="26"/>
        <v>2.5094812426598615E-2</v>
      </c>
      <c r="Z100" s="16">
        <v>180.62344470745541</v>
      </c>
      <c r="AA100" s="45">
        <f t="shared" si="14"/>
        <v>0.21901540497155936</v>
      </c>
    </row>
    <row r="101" spans="1:27" x14ac:dyDescent="0.2">
      <c r="A101" s="4">
        <f t="shared" si="21"/>
        <v>42401</v>
      </c>
      <c r="B101" s="26">
        <v>151101</v>
      </c>
      <c r="C101" s="27">
        <f t="shared" si="15"/>
        <v>90.760027610247022</v>
      </c>
      <c r="D101" s="7" t="e">
        <v>#N/A</v>
      </c>
      <c r="E101" s="8" t="e">
        <v>#N/A</v>
      </c>
      <c r="F101" s="100">
        <v>0.66121722261536398</v>
      </c>
      <c r="G101" s="13">
        <v>0.575356987203127</v>
      </c>
      <c r="H101" s="18">
        <v>110.08421422287999</v>
      </c>
      <c r="I101" s="19">
        <f t="shared" si="16"/>
        <v>137.26204416039985</v>
      </c>
      <c r="J101" s="20">
        <f t="shared" si="17"/>
        <v>125.72116857445036</v>
      </c>
      <c r="K101" s="17">
        <f t="shared" si="19"/>
        <v>114.85670609523275</v>
      </c>
      <c r="L101" s="43">
        <f t="shared" si="18"/>
        <v>0.14122944918681779</v>
      </c>
      <c r="M101" s="16">
        <v>123.8870184501707</v>
      </c>
      <c r="N101" s="45">
        <f t="shared" si="20"/>
        <v>0.27541436590650248</v>
      </c>
      <c r="O101" s="51">
        <v>65050</v>
      </c>
      <c r="P101" s="27">
        <f t="shared" si="22"/>
        <v>165.24831703289723</v>
      </c>
      <c r="Q101" s="7" t="e">
        <v>#N/A</v>
      </c>
      <c r="R101" s="59" t="e">
        <v>#N/A</v>
      </c>
      <c r="S101" s="98">
        <v>-26.285552157347698</v>
      </c>
      <c r="T101" s="67">
        <v>1</v>
      </c>
      <c r="U101" s="80">
        <v>185.78164937220299</v>
      </c>
      <c r="V101" s="78">
        <f t="shared" si="23"/>
        <v>191.53386919024493</v>
      </c>
      <c r="W101" s="79">
        <f t="shared" si="24"/>
        <v>191.53386919024493</v>
      </c>
      <c r="X101" s="17">
        <f t="shared" si="25"/>
        <v>188.30652410895115</v>
      </c>
      <c r="Y101" s="43">
        <f t="shared" si="26"/>
        <v>7.8232141881644946E-3</v>
      </c>
      <c r="Z101" s="16">
        <v>182.64616265807391</v>
      </c>
      <c r="AA101" s="45">
        <f t="shared" si="14"/>
        <v>0.18804109804384361</v>
      </c>
    </row>
    <row r="102" spans="1:27" x14ac:dyDescent="0.2">
      <c r="A102" s="4">
        <f t="shared" si="21"/>
        <v>42430</v>
      </c>
      <c r="B102" s="26">
        <v>146050</v>
      </c>
      <c r="C102" s="27">
        <f t="shared" si="15"/>
        <v>87.726103946873792</v>
      </c>
      <c r="D102" s="7" t="e">
        <v>#N/A</v>
      </c>
      <c r="E102" s="8" t="e">
        <v>#N/A</v>
      </c>
      <c r="F102" s="100">
        <v>0.72604641890853105</v>
      </c>
      <c r="G102" s="13">
        <v>1</v>
      </c>
      <c r="H102" s="18">
        <v>116.332839316853</v>
      </c>
      <c r="I102" s="19">
        <f t="shared" si="16"/>
        <v>120.82712848959829</v>
      </c>
      <c r="J102" s="20">
        <f t="shared" si="17"/>
        <v>120.82712848959829</v>
      </c>
      <c r="K102" s="17">
        <f t="shared" si="19"/>
        <v>121.45813967270846</v>
      </c>
      <c r="L102" s="43">
        <f t="shared" si="18"/>
        <v>5.5884356510993764E-2</v>
      </c>
      <c r="M102" s="16">
        <v>123.9392225810121</v>
      </c>
      <c r="N102" s="45">
        <f t="shared" si="20"/>
        <v>0.45128598939044595</v>
      </c>
      <c r="O102" s="51">
        <v>65050</v>
      </c>
      <c r="P102" s="27">
        <f t="shared" si="22"/>
        <v>165.24831703289723</v>
      </c>
      <c r="Q102" s="7" t="e">
        <v>#N/A</v>
      </c>
      <c r="R102" s="59" t="e">
        <v>#N/A</v>
      </c>
      <c r="S102" s="98">
        <v>-19.5150526577034</v>
      </c>
      <c r="T102" s="67">
        <v>1</v>
      </c>
      <c r="U102" s="80">
        <v>183.81074594742</v>
      </c>
      <c r="V102" s="78">
        <f t="shared" si="23"/>
        <v>184.76336969060063</v>
      </c>
      <c r="W102" s="79">
        <f t="shared" si="24"/>
        <v>184.76336969060063</v>
      </c>
      <c r="X102" s="17">
        <f t="shared" si="25"/>
        <v>185.53072719968634</v>
      </c>
      <c r="Y102" s="43">
        <f t="shared" si="26"/>
        <v>-1.4850568870498512E-2</v>
      </c>
      <c r="Z102" s="16">
        <v>184.6238032837532</v>
      </c>
      <c r="AA102" s="45">
        <f t="shared" si="14"/>
        <v>0.10752479692177541</v>
      </c>
    </row>
    <row r="103" spans="1:27" x14ac:dyDescent="0.2">
      <c r="A103" s="4">
        <f t="shared" si="21"/>
        <v>42461</v>
      </c>
      <c r="B103" s="26">
        <v>191408</v>
      </c>
      <c r="C103" s="27">
        <f t="shared" si="15"/>
        <v>114.97075045712577</v>
      </c>
      <c r="D103" s="7" t="e">
        <v>#N/A</v>
      </c>
      <c r="E103" s="8" t="e">
        <v>#N/A</v>
      </c>
      <c r="F103" s="100">
        <v>0.97056840236017305</v>
      </c>
      <c r="G103" s="13">
        <v>1</v>
      </c>
      <c r="H103" s="18">
        <v>122.091857751635</v>
      </c>
      <c r="I103" s="19">
        <f t="shared" si="16"/>
        <v>118.45713313718687</v>
      </c>
      <c r="J103" s="20">
        <f t="shared" si="17"/>
        <v>118.45713313718687</v>
      </c>
      <c r="K103" s="17">
        <f t="shared" si="19"/>
        <v>121.85054410966141</v>
      </c>
      <c r="L103" s="43">
        <f t="shared" si="18"/>
        <v>3.2255714927849383E-3</v>
      </c>
      <c r="M103" s="16">
        <v>123.974947158478</v>
      </c>
      <c r="N103" s="45">
        <f t="shared" si="20"/>
        <v>0.52557636354129222</v>
      </c>
      <c r="O103" s="51">
        <v>60670</v>
      </c>
      <c r="P103" s="27">
        <f t="shared" si="22"/>
        <v>154.12168169693891</v>
      </c>
      <c r="Q103" s="7" t="e">
        <v>#N/A</v>
      </c>
      <c r="R103" s="59" t="e">
        <v>#N/A</v>
      </c>
      <c r="S103" s="98">
        <v>-26.940618530360201</v>
      </c>
      <c r="T103" s="67">
        <v>1</v>
      </c>
      <c r="U103" s="80">
        <v>181.462348053955</v>
      </c>
      <c r="V103" s="78">
        <f t="shared" si="23"/>
        <v>181.06230022729912</v>
      </c>
      <c r="W103" s="79">
        <f t="shared" si="24"/>
        <v>181.06230022729912</v>
      </c>
      <c r="X103" s="17">
        <f t="shared" si="25"/>
        <v>181.38909453173341</v>
      </c>
      <c r="Y103" s="43">
        <f t="shared" si="26"/>
        <v>-2.2576096084962985E-2</v>
      </c>
      <c r="Z103" s="16">
        <v>186.5554343786506</v>
      </c>
      <c r="AA103" s="45">
        <f t="shared" si="14"/>
        <v>6.5790049332652201E-2</v>
      </c>
    </row>
    <row r="104" spans="1:27" x14ac:dyDescent="0.2">
      <c r="A104" s="4">
        <f t="shared" si="21"/>
        <v>42491</v>
      </c>
      <c r="B104" s="26">
        <v>251535</v>
      </c>
      <c r="C104" s="27">
        <f t="shared" si="15"/>
        <v>151.08651527748648</v>
      </c>
      <c r="D104" s="7" t="e">
        <v>#N/A</v>
      </c>
      <c r="E104" s="8" t="e">
        <v>#N/A</v>
      </c>
      <c r="F104" s="100">
        <v>1.1652445197852599</v>
      </c>
      <c r="G104" s="13">
        <v>1</v>
      </c>
      <c r="H104" s="18">
        <v>127.621630866801</v>
      </c>
      <c r="I104" s="19">
        <f t="shared" si="16"/>
        <v>129.66078167467361</v>
      </c>
      <c r="J104" s="20">
        <f t="shared" si="17"/>
        <v>129.66078167467361</v>
      </c>
      <c r="K104" s="17">
        <f t="shared" si="19"/>
        <v>126.99648744450701</v>
      </c>
      <c r="L104" s="43">
        <f t="shared" si="18"/>
        <v>4.1364182692080968E-2</v>
      </c>
      <c r="M104" s="16">
        <v>123.9920549155307</v>
      </c>
      <c r="N104" s="45">
        <f t="shared" si="20"/>
        <v>0.55696517662589384</v>
      </c>
      <c r="O104" s="51">
        <v>62659</v>
      </c>
      <c r="P104" s="27">
        <f t="shared" si="22"/>
        <v>159.17439349676107</v>
      </c>
      <c r="Q104" s="7" t="e">
        <v>#N/A</v>
      </c>
      <c r="R104" s="59" t="e">
        <v>#N/A</v>
      </c>
      <c r="S104" s="98">
        <v>-19.494014484973601</v>
      </c>
      <c r="T104" s="67">
        <v>1</v>
      </c>
      <c r="U104" s="80">
        <v>179.77075261278401</v>
      </c>
      <c r="V104" s="78">
        <f t="shared" si="23"/>
        <v>178.66840798173467</v>
      </c>
      <c r="W104" s="79">
        <f t="shared" si="24"/>
        <v>178.66840798173467</v>
      </c>
      <c r="X104" s="17">
        <f t="shared" si="25"/>
        <v>179.42478537994413</v>
      </c>
      <c r="Y104" s="43">
        <f t="shared" si="26"/>
        <v>-1.0888320365463253E-2</v>
      </c>
      <c r="Z104" s="16">
        <v>188.44013073478169</v>
      </c>
      <c r="AA104" s="45">
        <f t="shared" ref="AA104:AA167" si="27">(X104/X92)-1</f>
        <v>5.5479768561847109E-2</v>
      </c>
    </row>
    <row r="105" spans="1:27" x14ac:dyDescent="0.2">
      <c r="A105" s="4">
        <f t="shared" si="21"/>
        <v>42522</v>
      </c>
      <c r="B105" s="26">
        <v>261774</v>
      </c>
      <c r="C105" s="27">
        <f t="shared" si="15"/>
        <v>157.23665275309099</v>
      </c>
      <c r="D105" s="7" t="e">
        <v>#N/A</v>
      </c>
      <c r="E105" s="8" t="e">
        <v>#N/A</v>
      </c>
      <c r="F105" s="100">
        <v>1.2075875097456099</v>
      </c>
      <c r="G105" s="13">
        <v>1</v>
      </c>
      <c r="H105" s="18">
        <v>133.789071810439</v>
      </c>
      <c r="I105" s="19">
        <f t="shared" si="16"/>
        <v>130.20725329149391</v>
      </c>
      <c r="J105" s="20">
        <f t="shared" si="17"/>
        <v>130.20725329149391</v>
      </c>
      <c r="K105" s="17">
        <f t="shared" si="19"/>
        <v>128.93105245355082</v>
      </c>
      <c r="L105" s="43">
        <f t="shared" si="18"/>
        <v>1.5118356214776743E-2</v>
      </c>
      <c r="M105" s="16">
        <v>123.9883921931297</v>
      </c>
      <c r="N105" s="45">
        <f t="shared" si="20"/>
        <v>0.43489032071202627</v>
      </c>
      <c r="O105" s="51">
        <v>60695</v>
      </c>
      <c r="P105" s="27">
        <f t="shared" si="22"/>
        <v>154.18518988949575</v>
      </c>
      <c r="Q105" s="7" t="e">
        <v>#N/A</v>
      </c>
      <c r="R105" s="59" t="e">
        <v>#N/A</v>
      </c>
      <c r="S105" s="98">
        <v>9.6343110195622099</v>
      </c>
      <c r="T105" s="67">
        <v>0</v>
      </c>
      <c r="U105" s="80">
        <v>179.30002532900801</v>
      </c>
      <c r="V105" s="78">
        <f t="shared" si="23"/>
        <v>144.55087886993354</v>
      </c>
      <c r="W105" s="79">
        <f t="shared" si="24"/>
        <v>179.30002532900801</v>
      </c>
      <c r="X105" s="17">
        <f t="shared" si="25"/>
        <v>176.54772127864092</v>
      </c>
      <c r="Y105" s="43">
        <f t="shared" si="26"/>
        <v>-1.6164881815868958E-2</v>
      </c>
      <c r="Z105" s="16">
        <v>190.27692728043851</v>
      </c>
      <c r="AA105" s="45">
        <f t="shared" si="27"/>
        <v>-3.6200276890508976E-3</v>
      </c>
    </row>
    <row r="106" spans="1:27" x14ac:dyDescent="0.2">
      <c r="A106" s="4">
        <f t="shared" si="21"/>
        <v>42552</v>
      </c>
      <c r="B106" s="26">
        <v>248648</v>
      </c>
      <c r="C106" s="27">
        <f t="shared" si="15"/>
        <v>149.35241557125832</v>
      </c>
      <c r="D106" s="7" t="e">
        <v>#N/A</v>
      </c>
      <c r="E106" s="8" t="e">
        <v>#N/A</v>
      </c>
      <c r="F106" s="100">
        <v>1.1886486069365101</v>
      </c>
      <c r="G106" s="13">
        <v>1</v>
      </c>
      <c r="H106" s="18">
        <v>139.63917088525099</v>
      </c>
      <c r="I106" s="19">
        <f t="shared" si="16"/>
        <v>125.64892155654186</v>
      </c>
      <c r="J106" s="20">
        <f t="shared" si="17"/>
        <v>125.64892155654186</v>
      </c>
      <c r="K106" s="17">
        <f t="shared" si="19"/>
        <v>134.75175481553839</v>
      </c>
      <c r="L106" s="43">
        <f t="shared" si="18"/>
        <v>4.4156448080519259E-2</v>
      </c>
      <c r="M106" s="16">
        <v>123.9618285145894</v>
      </c>
      <c r="N106" s="45">
        <f t="shared" si="20"/>
        <v>0.39857115541097765</v>
      </c>
      <c r="O106" s="51">
        <v>71659</v>
      </c>
      <c r="P106" s="27">
        <f t="shared" si="22"/>
        <v>182.03734281722342</v>
      </c>
      <c r="Q106" s="7" t="e">
        <v>#N/A</v>
      </c>
      <c r="R106" s="59" t="e">
        <v>#N/A</v>
      </c>
      <c r="S106" s="98">
        <v>13.1149163424104</v>
      </c>
      <c r="T106" s="67">
        <v>1</v>
      </c>
      <c r="U106" s="80">
        <v>180.929269788868</v>
      </c>
      <c r="V106" s="78">
        <f t="shared" si="23"/>
        <v>168.92242647481302</v>
      </c>
      <c r="W106" s="79">
        <f t="shared" si="24"/>
        <v>168.92242647481302</v>
      </c>
      <c r="X106" s="17">
        <f t="shared" si="25"/>
        <v>178.57368006268075</v>
      </c>
      <c r="Y106" s="43">
        <f t="shared" si="26"/>
        <v>1.1410074167703297E-2</v>
      </c>
      <c r="Z106" s="16">
        <v>192.06478938106241</v>
      </c>
      <c r="AA106" s="45">
        <f t="shared" si="27"/>
        <v>-9.5770026936888852E-3</v>
      </c>
    </row>
    <row r="107" spans="1:27" x14ac:dyDescent="0.2">
      <c r="A107" s="4">
        <f t="shared" si="21"/>
        <v>42583</v>
      </c>
      <c r="B107" s="26">
        <v>285386</v>
      </c>
      <c r="C107" s="27">
        <f t="shared" si="15"/>
        <v>171.41938994168112</v>
      </c>
      <c r="D107" s="7" t="e">
        <v>#N/A</v>
      </c>
      <c r="E107" s="8" t="e">
        <v>#N/A</v>
      </c>
      <c r="F107" s="100">
        <v>1.0883637915753599</v>
      </c>
      <c r="G107" s="13">
        <v>1</v>
      </c>
      <c r="H107" s="18">
        <v>144.63235382063201</v>
      </c>
      <c r="I107" s="19">
        <f t="shared" si="16"/>
        <v>157.50192285757586</v>
      </c>
      <c r="J107" s="20">
        <f t="shared" si="17"/>
        <v>157.50192285757586</v>
      </c>
      <c r="K107" s="17">
        <f t="shared" si="19"/>
        <v>148.6859111817576</v>
      </c>
      <c r="L107" s="43">
        <f t="shared" si="18"/>
        <v>9.840186993115449E-2</v>
      </c>
      <c r="M107" s="16">
        <v>123.91027154103109</v>
      </c>
      <c r="N107" s="45">
        <f t="shared" si="20"/>
        <v>0.4910956592933311</v>
      </c>
      <c r="O107" s="51">
        <v>87669</v>
      </c>
      <c r="P107" s="27">
        <f t="shared" si="22"/>
        <v>222.70798933062363</v>
      </c>
      <c r="Q107" s="7" t="e">
        <v>#N/A</v>
      </c>
      <c r="R107" s="59" t="e">
        <v>#N/A</v>
      </c>
      <c r="S107" s="98">
        <v>25.558147358534601</v>
      </c>
      <c r="T107" s="67">
        <v>1</v>
      </c>
      <c r="U107" s="80">
        <v>184.917494283015</v>
      </c>
      <c r="V107" s="78">
        <f t="shared" si="23"/>
        <v>197.14984197208904</v>
      </c>
      <c r="W107" s="79">
        <f t="shared" si="24"/>
        <v>197.14984197208904</v>
      </c>
      <c r="X107" s="17">
        <f t="shared" si="25"/>
        <v>190.04870133298061</v>
      </c>
      <c r="Y107" s="43">
        <f t="shared" si="26"/>
        <v>6.2279072608008468E-2</v>
      </c>
      <c r="Z107" s="16">
        <v>193.80257646685459</v>
      </c>
      <c r="AA107" s="45">
        <f t="shared" si="27"/>
        <v>9.5625986318532696E-2</v>
      </c>
    </row>
    <row r="108" spans="1:27" x14ac:dyDescent="0.2">
      <c r="A108" s="4">
        <f t="shared" si="21"/>
        <v>42614</v>
      </c>
      <c r="B108" s="26">
        <v>292540</v>
      </c>
      <c r="C108" s="27">
        <f t="shared" si="15"/>
        <v>175.71649742292681</v>
      </c>
      <c r="D108" s="7" t="e">
        <v>#N/A</v>
      </c>
      <c r="E108" s="8" t="e">
        <v>#N/A</v>
      </c>
      <c r="F108" s="100">
        <v>1.14034328523996</v>
      </c>
      <c r="G108" s="13">
        <v>1</v>
      </c>
      <c r="H108" s="18">
        <v>148.26497969958299</v>
      </c>
      <c r="I108" s="19">
        <f t="shared" si="16"/>
        <v>154.09087745533677</v>
      </c>
      <c r="J108" s="20">
        <f t="shared" si="17"/>
        <v>154.09087745533677</v>
      </c>
      <c r="K108" s="17">
        <f t="shared" si="19"/>
        <v>153.8109562128742</v>
      </c>
      <c r="L108" s="43">
        <f t="shared" si="18"/>
        <v>3.3888188903748437E-2</v>
      </c>
      <c r="M108" s="16">
        <v>123.8317121891819</v>
      </c>
      <c r="N108" s="45">
        <f t="shared" si="20"/>
        <v>0.57295777962217409</v>
      </c>
      <c r="O108" s="51">
        <v>92162</v>
      </c>
      <c r="P108" s="27">
        <f t="shared" si="22"/>
        <v>234.12168169693891</v>
      </c>
      <c r="Q108" s="7" t="e">
        <v>#N/A</v>
      </c>
      <c r="R108" s="59" t="e">
        <v>#N/A</v>
      </c>
      <c r="S108" s="98">
        <v>19.738430192150702</v>
      </c>
      <c r="T108" s="67">
        <v>0.24700049182947401</v>
      </c>
      <c r="U108" s="80">
        <v>191.26164730327</v>
      </c>
      <c r="V108" s="78">
        <f t="shared" si="23"/>
        <v>214.38325150478821</v>
      </c>
      <c r="W108" s="79">
        <f t="shared" si="24"/>
        <v>196.97269491293142</v>
      </c>
      <c r="X108" s="17">
        <f t="shared" si="25"/>
        <v>194.37485659172467</v>
      </c>
      <c r="Y108" s="43">
        <f t="shared" si="26"/>
        <v>2.2508183020886599E-2</v>
      </c>
      <c r="Z108" s="16">
        <v>195.48904386996691</v>
      </c>
      <c r="AA108" s="45">
        <f t="shared" si="27"/>
        <v>0.11636124981469842</v>
      </c>
    </row>
    <row r="109" spans="1:27" x14ac:dyDescent="0.2">
      <c r="A109" s="4">
        <f t="shared" si="21"/>
        <v>42644</v>
      </c>
      <c r="B109" s="26">
        <v>294168.09999999998</v>
      </c>
      <c r="C109" s="27">
        <f t="shared" si="15"/>
        <v>176.69442874669198</v>
      </c>
      <c r="D109" s="7" t="e">
        <v>#N/A</v>
      </c>
      <c r="E109" s="8" t="e">
        <v>#N/A</v>
      </c>
      <c r="F109" s="100">
        <v>1.18142721970139</v>
      </c>
      <c r="G109" s="13">
        <v>1</v>
      </c>
      <c r="H109" s="18">
        <v>148.84541855176201</v>
      </c>
      <c r="I109" s="19">
        <f t="shared" si="16"/>
        <v>149.56014708324744</v>
      </c>
      <c r="J109" s="20">
        <f t="shared" si="17"/>
        <v>149.56014708324744</v>
      </c>
      <c r="K109" s="17">
        <f t="shared" si="19"/>
        <v>152.08979700445039</v>
      </c>
      <c r="L109" s="43">
        <f t="shared" si="18"/>
        <v>-1.1253175112398575E-2</v>
      </c>
      <c r="M109" s="16">
        <v>123.72433254582771</v>
      </c>
      <c r="N109" s="45">
        <f t="shared" si="20"/>
        <v>0.58279429840272723</v>
      </c>
      <c r="O109" s="51">
        <v>84945.9</v>
      </c>
      <c r="P109" s="27">
        <f t="shared" si="22"/>
        <v>215.7904229645624</v>
      </c>
      <c r="Q109" s="7" t="e">
        <v>#N/A</v>
      </c>
      <c r="R109" s="59" t="e">
        <v>#N/A</v>
      </c>
      <c r="S109" s="98">
        <v>32.447439246061997</v>
      </c>
      <c r="T109" s="67">
        <v>0.80603744768355801</v>
      </c>
      <c r="U109" s="80">
        <v>199.12546757369401</v>
      </c>
      <c r="V109" s="78">
        <f t="shared" si="23"/>
        <v>183.34298371850039</v>
      </c>
      <c r="W109" s="79">
        <f t="shared" si="24"/>
        <v>186.40419456894679</v>
      </c>
      <c r="X109" s="17">
        <f t="shared" si="25"/>
        <v>193.7952066869853</v>
      </c>
      <c r="Y109" s="43">
        <f t="shared" si="26"/>
        <v>-2.9865792879528816E-3</v>
      </c>
      <c r="Z109" s="16">
        <v>197.12291795744721</v>
      </c>
      <c r="AA109" s="45">
        <f t="shared" si="27"/>
        <v>7.708567784606446E-2</v>
      </c>
    </row>
    <row r="110" spans="1:27" x14ac:dyDescent="0.2">
      <c r="A110" s="4">
        <f t="shared" si="21"/>
        <v>42675</v>
      </c>
      <c r="B110" s="26">
        <v>280907.8</v>
      </c>
      <c r="C110" s="27">
        <f t="shared" si="15"/>
        <v>168.72952319265755</v>
      </c>
      <c r="D110" s="7" t="e">
        <v>#N/A</v>
      </c>
      <c r="E110" s="8" t="e">
        <v>#N/A</v>
      </c>
      <c r="F110" s="100">
        <v>1.0875390295807901</v>
      </c>
      <c r="G110" s="13">
        <v>1</v>
      </c>
      <c r="H110" s="18">
        <v>147.02930993957</v>
      </c>
      <c r="I110" s="19">
        <f t="shared" si="16"/>
        <v>155.14801639596985</v>
      </c>
      <c r="J110" s="20">
        <f t="shared" si="17"/>
        <v>155.14801639596985</v>
      </c>
      <c r="K110" s="17">
        <f t="shared" si="19"/>
        <v>144.29160410632474</v>
      </c>
      <c r="L110" s="43">
        <f t="shared" si="18"/>
        <v>-5.2634835690896019E-2</v>
      </c>
      <c r="M110" s="16">
        <v>123.5865460190809</v>
      </c>
      <c r="N110" s="45">
        <f t="shared" si="20"/>
        <v>0.473512655069523</v>
      </c>
      <c r="O110" s="51">
        <v>87028.275429999994</v>
      </c>
      <c r="P110" s="27">
        <f t="shared" si="22"/>
        <v>221.0803389559253</v>
      </c>
      <c r="Q110" s="7" t="e">
        <v>#N/A</v>
      </c>
      <c r="R110" s="59" t="e">
        <v>#N/A</v>
      </c>
      <c r="S110" s="98">
        <v>15.6805962588091</v>
      </c>
      <c r="T110" s="67">
        <v>1</v>
      </c>
      <c r="U110" s="80">
        <v>207.83710991877601</v>
      </c>
      <c r="V110" s="78">
        <f t="shared" si="23"/>
        <v>205.39974269711621</v>
      </c>
      <c r="W110" s="79">
        <f t="shared" si="24"/>
        <v>205.39974269711621</v>
      </c>
      <c r="X110" s="17">
        <f t="shared" si="25"/>
        <v>204.08443599402963</v>
      </c>
      <c r="Y110" s="43">
        <f t="shared" si="26"/>
        <v>5.1731844288455037E-2</v>
      </c>
      <c r="Z110" s="16">
        <v>198.70291649922751</v>
      </c>
      <c r="AA110" s="45">
        <f t="shared" si="27"/>
        <v>0.13351553667510974</v>
      </c>
    </row>
    <row r="111" spans="1:27" x14ac:dyDescent="0.2">
      <c r="A111" s="4">
        <f t="shared" si="21"/>
        <v>42705</v>
      </c>
      <c r="B111" s="26">
        <v>153075.54999999999</v>
      </c>
      <c r="C111" s="27">
        <f t="shared" si="15"/>
        <v>91.946056905339788</v>
      </c>
      <c r="D111" s="7" t="e">
        <v>#N/A</v>
      </c>
      <c r="E111" s="8" t="e">
        <v>#N/A</v>
      </c>
      <c r="F111" s="100">
        <v>0.783785453079901</v>
      </c>
      <c r="G111" s="13">
        <v>1</v>
      </c>
      <c r="H111" s="18">
        <v>144.42974946054699</v>
      </c>
      <c r="I111" s="19">
        <f t="shared" si="16"/>
        <v>117.31023655011187</v>
      </c>
      <c r="J111" s="20">
        <f t="shared" si="17"/>
        <v>117.31023655011187</v>
      </c>
      <c r="K111" s="17">
        <f t="shared" si="19"/>
        <v>137.21041187826063</v>
      </c>
      <c r="L111" s="43">
        <f t="shared" si="18"/>
        <v>-5.0320679747814311E-2</v>
      </c>
      <c r="M111" s="16">
        <v>123.4169848863768</v>
      </c>
      <c r="N111" s="45">
        <f t="shared" si="20"/>
        <v>0.43238129638750578</v>
      </c>
      <c r="O111" s="51">
        <v>85736</v>
      </c>
      <c r="P111" s="27">
        <f t="shared" si="22"/>
        <v>217.79753588212878</v>
      </c>
      <c r="Q111" s="7" t="e">
        <v>#N/A</v>
      </c>
      <c r="R111" s="59" t="e">
        <v>#N/A</v>
      </c>
      <c r="S111" s="98">
        <v>-1.3365281308105601</v>
      </c>
      <c r="T111" s="67">
        <v>1</v>
      </c>
      <c r="U111" s="80">
        <v>216.72897989372001</v>
      </c>
      <c r="V111" s="78">
        <f t="shared" si="23"/>
        <v>219.13406401293935</v>
      </c>
      <c r="W111" s="79">
        <f t="shared" si="24"/>
        <v>219.13406401293935</v>
      </c>
      <c r="X111" s="17">
        <f t="shared" si="25"/>
        <v>218.92165156694392</v>
      </c>
      <c r="Y111" s="43">
        <f t="shared" si="26"/>
        <v>7.0180100262729056E-2</v>
      </c>
      <c r="Z111" s="16">
        <v>200.2277315884549</v>
      </c>
      <c r="AA111" s="45">
        <f t="shared" si="27"/>
        <v>0.20148807918874723</v>
      </c>
    </row>
    <row r="112" spans="1:27" x14ac:dyDescent="0.2">
      <c r="A112" s="4">
        <f t="shared" si="21"/>
        <v>42736</v>
      </c>
      <c r="B112" s="26">
        <v>189763.36999999997</v>
      </c>
      <c r="C112" s="27">
        <f t="shared" si="15"/>
        <v>113.98289025627572</v>
      </c>
      <c r="D112" s="7" t="e">
        <v>#N/A</v>
      </c>
      <c r="E112" s="8" t="e">
        <v>#N/A</v>
      </c>
      <c r="F112" s="100">
        <v>0.71654383226743201</v>
      </c>
      <c r="G112" s="13">
        <v>1</v>
      </c>
      <c r="H112" s="18">
        <v>142.51529889452101</v>
      </c>
      <c r="I112" s="19">
        <f t="shared" si="16"/>
        <v>159.07315801684896</v>
      </c>
      <c r="J112" s="20">
        <f t="shared" si="17"/>
        <v>159.07315801684896</v>
      </c>
      <c r="K112" s="17">
        <f t="shared" si="19"/>
        <v>144.62448337571774</v>
      </c>
      <c r="L112" s="43">
        <f t="shared" si="18"/>
        <v>5.2625012605093349E-2</v>
      </c>
      <c r="M112" s="16">
        <v>123.21444118640311</v>
      </c>
      <c r="N112" s="45">
        <f t="shared" si="20"/>
        <v>0.45017573416812429</v>
      </c>
      <c r="O112" s="51">
        <v>84345.287967775716</v>
      </c>
      <c r="P112" s="27">
        <f t="shared" si="22"/>
        <v>214.26467158078424</v>
      </c>
      <c r="Q112" s="7" t="e">
        <v>#N/A</v>
      </c>
      <c r="R112" s="59" t="e">
        <v>#N/A</v>
      </c>
      <c r="S112" s="98">
        <v>-17.7540639639966</v>
      </c>
      <c r="T112" s="67">
        <v>1</v>
      </c>
      <c r="U112" s="80">
        <v>224.673136302469</v>
      </c>
      <c r="V112" s="78">
        <f t="shared" si="23"/>
        <v>232.01873554478084</v>
      </c>
      <c r="W112" s="79">
        <f t="shared" si="24"/>
        <v>232.01873554478084</v>
      </c>
      <c r="X112" s="17">
        <f t="shared" si="25"/>
        <v>228.38445897571802</v>
      </c>
      <c r="Y112" s="43">
        <f t="shared" si="26"/>
        <v>4.2316522048643182E-2</v>
      </c>
      <c r="Z112" s="16">
        <v>201.69609684235311</v>
      </c>
      <c r="AA112" s="45">
        <f t="shared" si="27"/>
        <v>0.22235895827861252</v>
      </c>
    </row>
    <row r="113" spans="1:27" x14ac:dyDescent="0.2">
      <c r="A113" s="4">
        <f t="shared" si="21"/>
        <v>42767</v>
      </c>
      <c r="B113" s="26">
        <v>162199.72000000003</v>
      </c>
      <c r="C113" s="27">
        <f t="shared" si="15"/>
        <v>97.426562799546915</v>
      </c>
      <c r="D113" s="7" t="e">
        <v>#N/A</v>
      </c>
      <c r="E113" s="8" t="e">
        <v>#N/A</v>
      </c>
      <c r="F113" s="100">
        <v>0.68110753806742796</v>
      </c>
      <c r="G113" s="13">
        <v>1</v>
      </c>
      <c r="H113" s="18">
        <v>142.766509517315</v>
      </c>
      <c r="I113" s="19">
        <f t="shared" si="16"/>
        <v>143.04138091906117</v>
      </c>
      <c r="J113" s="20">
        <f t="shared" si="17"/>
        <v>143.04138091906117</v>
      </c>
      <c r="K113" s="17">
        <f t="shared" si="19"/>
        <v>143.63575655872509</v>
      </c>
      <c r="L113" s="43">
        <f t="shared" si="18"/>
        <v>-6.8599866191979405E-3</v>
      </c>
      <c r="M113" s="16">
        <v>122.97781338861419</v>
      </c>
      <c r="N113" s="45">
        <f t="shared" si="20"/>
        <v>0.25056482500578037</v>
      </c>
      <c r="O113" s="51">
        <v>80095.56</v>
      </c>
      <c r="P113" s="27">
        <f t="shared" si="22"/>
        <v>203.46896989711672</v>
      </c>
      <c r="Q113" s="7" t="e">
        <v>#N/A</v>
      </c>
      <c r="R113" s="59" t="e">
        <v>#N/A</v>
      </c>
      <c r="S113" s="98">
        <v>-26.8973309032543</v>
      </c>
      <c r="T113" s="67">
        <v>1</v>
      </c>
      <c r="U113" s="80">
        <v>230.69038148782101</v>
      </c>
      <c r="V113" s="78">
        <f t="shared" si="23"/>
        <v>230.36630080037102</v>
      </c>
      <c r="W113" s="79">
        <f t="shared" si="24"/>
        <v>230.36630080037102</v>
      </c>
      <c r="X113" s="17">
        <f t="shared" si="25"/>
        <v>230.84842308974061</v>
      </c>
      <c r="Y113" s="43">
        <f t="shared" si="26"/>
        <v>1.0730885589356511E-2</v>
      </c>
      <c r="Z113" s="16">
        <v>203.10689012134571</v>
      </c>
      <c r="AA113" s="45">
        <f t="shared" si="27"/>
        <v>0.2259183487247387</v>
      </c>
    </row>
    <row r="114" spans="1:27" x14ac:dyDescent="0.2">
      <c r="A114" s="4">
        <f t="shared" si="21"/>
        <v>42795</v>
      </c>
      <c r="B114" s="26">
        <v>172221.30000000005</v>
      </c>
      <c r="C114" s="27">
        <f t="shared" si="15"/>
        <v>103.44610520825567</v>
      </c>
      <c r="D114" s="7" t="e">
        <v>#N/A</v>
      </c>
      <c r="E114" s="8" t="e">
        <v>#N/A</v>
      </c>
      <c r="F114" s="100">
        <v>0.79950860717527095</v>
      </c>
      <c r="G114" s="13">
        <v>1</v>
      </c>
      <c r="H114" s="18">
        <v>144.126778907578</v>
      </c>
      <c r="I114" s="19">
        <f t="shared" si="16"/>
        <v>129.38710637992904</v>
      </c>
      <c r="J114" s="20">
        <f t="shared" si="17"/>
        <v>129.38710637992904</v>
      </c>
      <c r="K114" s="17">
        <f t="shared" si="19"/>
        <v>138.83873156940933</v>
      </c>
      <c r="L114" s="43">
        <f t="shared" si="18"/>
        <v>-3.3967571688064163E-2</v>
      </c>
      <c r="M114" s="16">
        <v>122.7061651634034</v>
      </c>
      <c r="N114" s="45">
        <f t="shared" si="20"/>
        <v>0.14309944103817251</v>
      </c>
      <c r="O114" s="51">
        <v>82796.55</v>
      </c>
      <c r="P114" s="27">
        <f t="shared" si="22"/>
        <v>210.33036961768067</v>
      </c>
      <c r="Q114" s="7" t="e">
        <v>#N/A</v>
      </c>
      <c r="R114" s="59" t="e">
        <v>#N/A</v>
      </c>
      <c r="S114" s="98">
        <v>-20.311985595758799</v>
      </c>
      <c r="T114" s="67">
        <v>1</v>
      </c>
      <c r="U114" s="80">
        <v>234.245921449262</v>
      </c>
      <c r="V114" s="78">
        <f t="shared" si="23"/>
        <v>230.64235521343949</v>
      </c>
      <c r="W114" s="79">
        <f t="shared" si="24"/>
        <v>230.64235521343949</v>
      </c>
      <c r="X114" s="17">
        <f t="shared" si="25"/>
        <v>233.02729689887556</v>
      </c>
      <c r="Y114" s="43">
        <f t="shared" si="26"/>
        <v>9.3942827334384874E-3</v>
      </c>
      <c r="Z114" s="16">
        <v>204.45919521458021</v>
      </c>
      <c r="AA114" s="45">
        <f t="shared" si="27"/>
        <v>0.25600379201914492</v>
      </c>
    </row>
    <row r="115" spans="1:27" x14ac:dyDescent="0.2">
      <c r="A115" s="4">
        <f t="shared" si="21"/>
        <v>42826</v>
      </c>
      <c r="B115" s="26">
        <v>249430.87</v>
      </c>
      <c r="C115" s="27">
        <f t="shared" si="15"/>
        <v>149.82265271605041</v>
      </c>
      <c r="D115" s="7" t="e">
        <v>#N/A</v>
      </c>
      <c r="E115" s="8" t="e">
        <v>#N/A</v>
      </c>
      <c r="F115" s="100">
        <v>0.97579330442720202</v>
      </c>
      <c r="G115" s="13">
        <v>1</v>
      </c>
      <c r="H115" s="18">
        <v>143.00404849210801</v>
      </c>
      <c r="I115" s="19">
        <f t="shared" si="16"/>
        <v>153.53933259871815</v>
      </c>
      <c r="J115" s="20">
        <f t="shared" si="17"/>
        <v>153.53933259871815</v>
      </c>
      <c r="K115" s="17">
        <f t="shared" si="19"/>
        <v>145.67902685642275</v>
      </c>
      <c r="L115" s="43">
        <f t="shared" si="18"/>
        <v>4.809270035320256E-2</v>
      </c>
      <c r="M115" s="16">
        <v>122.39871957887701</v>
      </c>
      <c r="N115" s="45">
        <f t="shared" si="20"/>
        <v>0.1955549966630965</v>
      </c>
      <c r="O115" s="51">
        <v>80573.259999999995</v>
      </c>
      <c r="P115" s="27">
        <f t="shared" si="22"/>
        <v>204.6824844404928</v>
      </c>
      <c r="Q115" s="7" t="e">
        <v>#N/A</v>
      </c>
      <c r="R115" s="59" t="e">
        <v>#N/A</v>
      </c>
      <c r="S115" s="98">
        <v>-35.775691927759397</v>
      </c>
      <c r="T115" s="67">
        <v>1</v>
      </c>
      <c r="U115" s="80">
        <v>234.801826351101</v>
      </c>
      <c r="V115" s="78">
        <f t="shared" si="23"/>
        <v>240.4581763682522</v>
      </c>
      <c r="W115" s="79">
        <f t="shared" si="24"/>
        <v>240.4581763682522</v>
      </c>
      <c r="X115" s="17">
        <f t="shared" si="25"/>
        <v>236.85877905971924</v>
      </c>
      <c r="Y115" s="43">
        <f t="shared" si="26"/>
        <v>1.6308493812218213E-2</v>
      </c>
      <c r="Z115" s="16">
        <v>205.75230996624279</v>
      </c>
      <c r="AA115" s="45">
        <f t="shared" si="27"/>
        <v>0.30580495851299161</v>
      </c>
    </row>
    <row r="116" spans="1:27" x14ac:dyDescent="0.2">
      <c r="A116" s="4">
        <f t="shared" si="21"/>
        <v>42856</v>
      </c>
      <c r="B116" s="26">
        <v>296823.87999999995</v>
      </c>
      <c r="C116" s="27">
        <f t="shared" si="15"/>
        <v>178.28964430533645</v>
      </c>
      <c r="D116" s="7" t="e">
        <v>#N/A</v>
      </c>
      <c r="E116" s="8" t="e">
        <v>#N/A</v>
      </c>
      <c r="F116" s="100">
        <v>1.21907169150188</v>
      </c>
      <c r="G116" s="13">
        <v>1</v>
      </c>
      <c r="H116" s="18">
        <v>138.16911940121199</v>
      </c>
      <c r="I116" s="19">
        <f t="shared" si="16"/>
        <v>146.2503358483257</v>
      </c>
      <c r="J116" s="20">
        <f t="shared" si="17"/>
        <v>146.2503358483257</v>
      </c>
      <c r="K116" s="17">
        <f t="shared" si="19"/>
        <v>145.96952719396231</v>
      </c>
      <c r="L116" s="43">
        <f t="shared" si="18"/>
        <v>1.9921266852014471E-3</v>
      </c>
      <c r="M116" s="16">
        <v>122.05482418281581</v>
      </c>
      <c r="N116" s="45">
        <f t="shared" si="20"/>
        <v>0.14939814581679545</v>
      </c>
      <c r="O116" s="51">
        <v>84274.989999999991</v>
      </c>
      <c r="P116" s="27">
        <f t="shared" si="22"/>
        <v>214.08609170583003</v>
      </c>
      <c r="Q116" s="7" t="e">
        <v>#N/A</v>
      </c>
      <c r="R116" s="59" t="e">
        <v>#N/A</v>
      </c>
      <c r="S116" s="98">
        <v>-21.790316583102999</v>
      </c>
      <c r="T116" s="67">
        <v>1</v>
      </c>
      <c r="U116" s="80">
        <v>234.295969984593</v>
      </c>
      <c r="V116" s="78">
        <f t="shared" si="23"/>
        <v>235.87640828893302</v>
      </c>
      <c r="W116" s="79">
        <f t="shared" si="24"/>
        <v>235.87640828893302</v>
      </c>
      <c r="X116" s="17">
        <f t="shared" si="25"/>
        <v>234.55923047617839</v>
      </c>
      <c r="Y116" s="43">
        <f t="shared" si="26"/>
        <v>-9.7559566075021264E-3</v>
      </c>
      <c r="Z116" s="16">
        <v>206.98575265340159</v>
      </c>
      <c r="AA116" s="45">
        <f t="shared" si="27"/>
        <v>0.30728444222175511</v>
      </c>
    </row>
    <row r="117" spans="1:27" x14ac:dyDescent="0.2">
      <c r="A117" s="4">
        <f t="shared" si="21"/>
        <v>42887</v>
      </c>
      <c r="B117" s="26">
        <v>282713.99999999994</v>
      </c>
      <c r="C117" s="27">
        <f t="shared" si="15"/>
        <v>169.81443170993819</v>
      </c>
      <c r="D117" s="7" t="e">
        <v>#N/A</v>
      </c>
      <c r="E117" s="8" t="e">
        <v>#N/A</v>
      </c>
      <c r="F117" s="100">
        <v>1.2319846703491699</v>
      </c>
      <c r="G117" s="13">
        <v>1</v>
      </c>
      <c r="H117" s="18">
        <v>131.106872833366</v>
      </c>
      <c r="I117" s="19">
        <f t="shared" si="16"/>
        <v>137.83810448047967</v>
      </c>
      <c r="J117" s="20">
        <f t="shared" si="17"/>
        <v>137.83810448047967</v>
      </c>
      <c r="K117" s="17">
        <f t="shared" si="19"/>
        <v>138.97445158771825</v>
      </c>
      <c r="L117" s="43">
        <f t="shared" si="18"/>
        <v>-4.9107767364247407E-2</v>
      </c>
      <c r="M117" s="16">
        <v>121.674006155006</v>
      </c>
      <c r="N117" s="45">
        <f t="shared" si="20"/>
        <v>7.7897441640645049E-2</v>
      </c>
      <c r="O117" s="51">
        <v>92959.41</v>
      </c>
      <c r="P117" s="27">
        <f t="shared" si="22"/>
        <v>236.14736441000889</v>
      </c>
      <c r="Q117" s="7" t="e">
        <v>#N/A</v>
      </c>
      <c r="R117" s="59" t="e">
        <v>#N/A</v>
      </c>
      <c r="S117" s="98">
        <v>10.1214354514136</v>
      </c>
      <c r="T117" s="67">
        <v>1</v>
      </c>
      <c r="U117" s="80">
        <v>234.51874938447199</v>
      </c>
      <c r="V117" s="78">
        <f t="shared" si="23"/>
        <v>226.0259289585953</v>
      </c>
      <c r="W117" s="79">
        <f t="shared" si="24"/>
        <v>226.0259289585953</v>
      </c>
      <c r="X117" s="17">
        <f t="shared" si="25"/>
        <v>230.60743103637213</v>
      </c>
      <c r="Y117" s="43">
        <f t="shared" si="26"/>
        <v>-1.6991305875965711E-2</v>
      </c>
      <c r="Z117" s="16">
        <v>208.1592815721776</v>
      </c>
      <c r="AA117" s="45">
        <f t="shared" si="27"/>
        <v>0.30620451720478514</v>
      </c>
    </row>
    <row r="118" spans="1:27" s="6" customFormat="1" x14ac:dyDescent="0.2">
      <c r="A118" s="5">
        <f t="shared" si="21"/>
        <v>42917</v>
      </c>
      <c r="B118" s="28">
        <v>272984.60000000003</v>
      </c>
      <c r="C118" s="29">
        <f t="shared" si="15"/>
        <v>163.97038956176493</v>
      </c>
      <c r="D118" s="7" t="e">
        <v>#N/A</v>
      </c>
      <c r="E118" s="8" t="e">
        <v>#N/A</v>
      </c>
      <c r="F118" s="101">
        <v>1.2239221134068701</v>
      </c>
      <c r="G118" s="14">
        <v>1</v>
      </c>
      <c r="H118" s="21">
        <v>125.722102299181</v>
      </c>
      <c r="I118" s="22">
        <f t="shared" si="16"/>
        <v>133.97126154158801</v>
      </c>
      <c r="J118" s="23">
        <f t="shared" si="17"/>
        <v>133.97126154158801</v>
      </c>
      <c r="K118" s="17">
        <f t="shared" si="19"/>
        <v>126.86767286125078</v>
      </c>
      <c r="L118" s="44">
        <f t="shared" si="18"/>
        <v>-9.1145517428791178E-2</v>
      </c>
      <c r="M118" s="16">
        <v>121.25597720225809</v>
      </c>
      <c r="N118" s="45">
        <f t="shared" si="20"/>
        <v>-5.8508195051560685E-2</v>
      </c>
      <c r="O118" s="52">
        <v>97319.65</v>
      </c>
      <c r="P118" s="29">
        <f t="shared" si="22"/>
        <v>247.2238028705703</v>
      </c>
      <c r="Q118" s="9" t="e">
        <v>#N/A</v>
      </c>
      <c r="R118" s="60" t="e">
        <v>#N/A</v>
      </c>
      <c r="S118" s="99">
        <v>12.7223449312055</v>
      </c>
      <c r="T118" s="68">
        <v>1</v>
      </c>
      <c r="U118" s="81">
        <v>235.179832501139</v>
      </c>
      <c r="V118" s="82">
        <f t="shared" si="23"/>
        <v>234.5014579393648</v>
      </c>
      <c r="W118" s="83">
        <f t="shared" si="24"/>
        <v>234.5014579393648</v>
      </c>
      <c r="X118" s="17">
        <f t="shared" si="25"/>
        <v>232.66037332154559</v>
      </c>
      <c r="Y118" s="44">
        <f t="shared" si="26"/>
        <v>8.8629328622971595E-3</v>
      </c>
      <c r="Z118" s="16">
        <v>209.2728677770088</v>
      </c>
      <c r="AA118" s="45">
        <f t="shared" si="27"/>
        <v>0.30288166341131562</v>
      </c>
    </row>
    <row r="119" spans="1:27" x14ac:dyDescent="0.2">
      <c r="A119" s="4">
        <f t="shared" si="21"/>
        <v>42948</v>
      </c>
      <c r="B119" s="26">
        <v>169883.49000000005</v>
      </c>
      <c r="C119" s="27">
        <f t="shared" si="15"/>
        <v>102.04188088050462</v>
      </c>
      <c r="D119" s="7" t="e">
        <v>#N/A</v>
      </c>
      <c r="E119" s="8" t="e">
        <v>#N/A</v>
      </c>
      <c r="F119" s="100">
        <v>1.0517765334161799</v>
      </c>
      <c r="G119" s="13">
        <v>0.85072434372388595</v>
      </c>
      <c r="H119" s="18">
        <v>128.31284297047401</v>
      </c>
      <c r="I119" s="19">
        <f t="shared" si="16"/>
        <v>97.018594386272952</v>
      </c>
      <c r="J119" s="20">
        <f t="shared" si="17"/>
        <v>101.69006388134741</v>
      </c>
      <c r="K119" s="17">
        <f t="shared" si="19"/>
        <v>112.88198216884498</v>
      </c>
      <c r="L119" s="43">
        <f t="shared" si="18"/>
        <v>-0.11680172992577613</v>
      </c>
      <c r="M119" s="16">
        <v>120.800582522478</v>
      </c>
      <c r="N119" s="45">
        <f t="shared" si="20"/>
        <v>-0.2408024319745059</v>
      </c>
      <c r="O119" s="51">
        <v>104563.28</v>
      </c>
      <c r="P119" s="27">
        <f t="shared" si="22"/>
        <v>265.62499682459037</v>
      </c>
      <c r="Q119" s="7" t="e">
        <v>#N/A</v>
      </c>
      <c r="R119" s="59" t="e">
        <v>#N/A</v>
      </c>
      <c r="S119" s="98">
        <v>30.012348375732898</v>
      </c>
      <c r="T119" s="67">
        <v>1</v>
      </c>
      <c r="U119" s="80">
        <v>235.550320789442</v>
      </c>
      <c r="V119" s="78">
        <f t="shared" si="23"/>
        <v>235.61264844885747</v>
      </c>
      <c r="W119" s="79">
        <f t="shared" si="24"/>
        <v>235.61264844885747</v>
      </c>
      <c r="X119" s="17">
        <f t="shared" si="25"/>
        <v>235.31290000058451</v>
      </c>
      <c r="Y119" s="43">
        <f t="shared" si="26"/>
        <v>1.13363528952766E-2</v>
      </c>
      <c r="Z119" s="16">
        <v>210.32665553336011</v>
      </c>
      <c r="AA119" s="45">
        <f t="shared" si="27"/>
        <v>0.23817157575992787</v>
      </c>
    </row>
    <row r="120" spans="1:27" x14ac:dyDescent="0.2">
      <c r="A120" s="4">
        <f t="shared" si="21"/>
        <v>42979</v>
      </c>
      <c r="B120" s="26">
        <v>213971.21000000002</v>
      </c>
      <c r="C120" s="27">
        <f t="shared" si="15"/>
        <v>128.5235235200162</v>
      </c>
      <c r="D120" s="7" t="e">
        <v>#N/A</v>
      </c>
      <c r="E120" s="8" t="e">
        <v>#N/A</v>
      </c>
      <c r="F120" s="100">
        <v>1.12565614817146</v>
      </c>
      <c r="G120" s="13">
        <v>1</v>
      </c>
      <c r="H120" s="18">
        <v>139.83509066711599</v>
      </c>
      <c r="I120" s="19">
        <f t="shared" si="16"/>
        <v>114.17653937109709</v>
      </c>
      <c r="J120" s="20">
        <f t="shared" si="17"/>
        <v>114.17653937109709</v>
      </c>
      <c r="K120" s="17">
        <f t="shared" si="19"/>
        <v>122.77542455080794</v>
      </c>
      <c r="L120" s="43">
        <f t="shared" si="18"/>
        <v>8.4014002522100686E-2</v>
      </c>
      <c r="M120" s="16">
        <v>120.3077106136886</v>
      </c>
      <c r="N120" s="45">
        <f t="shared" si="20"/>
        <v>-0.20177711930425246</v>
      </c>
      <c r="O120" s="51">
        <v>102827.72</v>
      </c>
      <c r="P120" s="27">
        <f t="shared" si="22"/>
        <v>261.21610567763241</v>
      </c>
      <c r="Q120" s="7" t="e">
        <v>#N/A</v>
      </c>
      <c r="R120" s="59" t="e">
        <v>#N/A</v>
      </c>
      <c r="S120" s="98">
        <v>25.6912605123741</v>
      </c>
      <c r="T120" s="67">
        <v>1</v>
      </c>
      <c r="U120" s="80">
        <v>235.15272975160099</v>
      </c>
      <c r="V120" s="78">
        <f t="shared" si="23"/>
        <v>235.52484516525831</v>
      </c>
      <c r="W120" s="79">
        <f t="shared" si="24"/>
        <v>235.52484516525831</v>
      </c>
      <c r="X120" s="17">
        <f t="shared" si="25"/>
        <v>238.94473383397286</v>
      </c>
      <c r="Y120" s="43">
        <f t="shared" si="26"/>
        <v>1.531616814075951E-2</v>
      </c>
      <c r="Z120" s="16">
        <v>211.32096956584289</v>
      </c>
      <c r="AA120" s="45">
        <f t="shared" si="27"/>
        <v>0.22929857299324041</v>
      </c>
    </row>
    <row r="121" spans="1:27" x14ac:dyDescent="0.2">
      <c r="A121" s="4">
        <f t="shared" si="21"/>
        <v>43009</v>
      </c>
      <c r="B121" s="26">
        <v>293096.32000000001</v>
      </c>
      <c r="C121" s="27">
        <f t="shared" si="15"/>
        <v>176.05065549309268</v>
      </c>
      <c r="D121" s="7" t="e">
        <v>#N/A</v>
      </c>
      <c r="E121" s="8" t="e">
        <v>#N/A</v>
      </c>
      <c r="F121" s="100">
        <v>1.09308477813825</v>
      </c>
      <c r="G121" s="13">
        <v>1</v>
      </c>
      <c r="H121" s="18">
        <v>156.577016294505</v>
      </c>
      <c r="I121" s="19">
        <f t="shared" si="16"/>
        <v>161.05855557969019</v>
      </c>
      <c r="J121" s="20">
        <f t="shared" si="17"/>
        <v>161.05855557969019</v>
      </c>
      <c r="K121" s="17">
        <f t="shared" si="19"/>
        <v>154.24391165041555</v>
      </c>
      <c r="L121" s="43">
        <f t="shared" si="18"/>
        <v>0.22817832146725089</v>
      </c>
      <c r="M121" s="16">
        <v>119.7771888736102</v>
      </c>
      <c r="N121" s="45">
        <f t="shared" si="20"/>
        <v>1.4163439549479628E-2</v>
      </c>
      <c r="O121" s="51">
        <v>111264.81</v>
      </c>
      <c r="P121" s="27">
        <f t="shared" si="22"/>
        <v>282.64907913120788</v>
      </c>
      <c r="Q121" s="7" t="e">
        <v>#N/A</v>
      </c>
      <c r="R121" s="59" t="e">
        <v>#N/A</v>
      </c>
      <c r="S121" s="98">
        <v>31.031027404177099</v>
      </c>
      <c r="T121" s="67">
        <v>0.85684368367531905</v>
      </c>
      <c r="U121" s="80">
        <v>234.14445898076301</v>
      </c>
      <c r="V121" s="78">
        <f t="shared" si="23"/>
        <v>251.61805172703077</v>
      </c>
      <c r="W121" s="79">
        <f t="shared" si="24"/>
        <v>249.11659655651741</v>
      </c>
      <c r="X121" s="17">
        <f t="shared" si="25"/>
        <v>239.6313990796923</v>
      </c>
      <c r="Y121" s="43">
        <f t="shared" si="26"/>
        <v>2.8696195639619439E-3</v>
      </c>
      <c r="Z121" s="16">
        <v>212.25632739417159</v>
      </c>
      <c r="AA121" s="45">
        <f t="shared" si="27"/>
        <v>0.2365187105310651</v>
      </c>
    </row>
    <row r="122" spans="1:27" x14ac:dyDescent="0.2">
      <c r="A122" s="4">
        <f t="shared" si="21"/>
        <v>43040</v>
      </c>
      <c r="B122" s="26">
        <v>302618.48000000004</v>
      </c>
      <c r="C122" s="27">
        <f t="shared" si="15"/>
        <v>181.77021727302261</v>
      </c>
      <c r="D122" s="7" t="e">
        <v>#N/A</v>
      </c>
      <c r="E122" s="8" t="e">
        <v>#N/A</v>
      </c>
      <c r="F122" s="100">
        <v>1.0060228535521001</v>
      </c>
      <c r="G122" s="13">
        <v>1</v>
      </c>
      <c r="H122" s="18">
        <v>171.646383779042</v>
      </c>
      <c r="I122" s="19">
        <f t="shared" si="16"/>
        <v>180.68199607118473</v>
      </c>
      <c r="J122" s="20">
        <f t="shared" si="17"/>
        <v>180.68199607118473</v>
      </c>
      <c r="K122" s="17">
        <f t="shared" si="19"/>
        <v>181.36808385441853</v>
      </c>
      <c r="L122" s="43">
        <f t="shared" si="18"/>
        <v>0.16199338738578897</v>
      </c>
      <c r="M122" s="16">
        <v>119.20886374095259</v>
      </c>
      <c r="N122" s="45">
        <f t="shared" si="20"/>
        <v>0.25695521217418227</v>
      </c>
      <c r="O122" s="51">
        <v>96565.42</v>
      </c>
      <c r="P122" s="27">
        <f t="shared" si="22"/>
        <v>245.30781150768448</v>
      </c>
      <c r="Q122" s="7" t="e">
        <v>#N/A</v>
      </c>
      <c r="R122" s="59" t="e">
        <v>#N/A</v>
      </c>
      <c r="S122" s="98">
        <v>20.540253467208501</v>
      </c>
      <c r="T122" s="67">
        <v>1</v>
      </c>
      <c r="U122" s="80">
        <v>232.491922174254</v>
      </c>
      <c r="V122" s="78">
        <f t="shared" si="23"/>
        <v>224.76755804047599</v>
      </c>
      <c r="W122" s="79">
        <f t="shared" si="24"/>
        <v>224.76755804047599</v>
      </c>
      <c r="X122" s="17">
        <f t="shared" si="25"/>
        <v>229.881855050247</v>
      </c>
      <c r="Y122" s="43">
        <f t="shared" si="26"/>
        <v>-4.1536402314083204E-2</v>
      </c>
      <c r="Z122" s="16">
        <v>213.13345968438239</v>
      </c>
      <c r="AA122" s="45">
        <f t="shared" si="27"/>
        <v>0.12640561702104547</v>
      </c>
    </row>
    <row r="123" spans="1:27" x14ac:dyDescent="0.2">
      <c r="A123" s="4">
        <f t="shared" si="21"/>
        <v>43070</v>
      </c>
      <c r="B123" s="26">
        <v>265727.76</v>
      </c>
      <c r="C123" s="27">
        <f t="shared" si="15"/>
        <v>159.61151040965376</v>
      </c>
      <c r="D123" s="7" t="e">
        <v>#N/A</v>
      </c>
      <c r="E123" s="8" t="e">
        <v>#N/A</v>
      </c>
      <c r="F123" s="100">
        <v>0.78607080667783003</v>
      </c>
      <c r="G123" s="13">
        <v>1</v>
      </c>
      <c r="H123" s="18">
        <v>178.446413387776</v>
      </c>
      <c r="I123" s="19">
        <f t="shared" si="16"/>
        <v>203.04978769561444</v>
      </c>
      <c r="J123" s="20">
        <f t="shared" si="17"/>
        <v>203.04978769561444</v>
      </c>
      <c r="K123" s="17">
        <f t="shared" si="19"/>
        <v>199.98235799892905</v>
      </c>
      <c r="L123" s="43">
        <f t="shared" si="18"/>
        <v>9.770057392146328E-2</v>
      </c>
      <c r="M123" s="16">
        <v>118.6028476013735</v>
      </c>
      <c r="N123" s="45">
        <f t="shared" si="20"/>
        <v>0.45748675527891103</v>
      </c>
      <c r="O123" s="51">
        <v>87520.9</v>
      </c>
      <c r="P123" s="27">
        <f t="shared" si="22"/>
        <v>222.33176679791691</v>
      </c>
      <c r="Q123" s="7" t="e">
        <v>#N/A</v>
      </c>
      <c r="R123" s="59" t="e">
        <v>#N/A</v>
      </c>
      <c r="S123" s="98">
        <v>1.4560592343983301</v>
      </c>
      <c r="T123" s="67">
        <v>1</v>
      </c>
      <c r="U123" s="80">
        <v>230.50469124911399</v>
      </c>
      <c r="V123" s="78">
        <f t="shared" si="23"/>
        <v>220.87570756351857</v>
      </c>
      <c r="W123" s="79">
        <f t="shared" si="24"/>
        <v>220.87570756351857</v>
      </c>
      <c r="X123" s="17">
        <f t="shared" si="25"/>
        <v>225.12697451941366</v>
      </c>
      <c r="Y123" s="43">
        <f t="shared" si="26"/>
        <v>-2.0900929026241861E-2</v>
      </c>
      <c r="Z123" s="16">
        <v>213.95330832992559</v>
      </c>
      <c r="AA123" s="45">
        <f t="shared" si="27"/>
        <v>2.8344948560614203E-2</v>
      </c>
    </row>
    <row r="124" spans="1:27" x14ac:dyDescent="0.2">
      <c r="A124" s="4">
        <f t="shared" si="21"/>
        <v>43101</v>
      </c>
      <c r="B124" s="26">
        <v>244128.15999999997</v>
      </c>
      <c r="C124" s="27">
        <f t="shared" si="15"/>
        <v>146.63753742224606</v>
      </c>
      <c r="D124" s="7" t="e">
        <v>#N/A</v>
      </c>
      <c r="E124" s="8" t="e">
        <v>#N/A</v>
      </c>
      <c r="F124" s="100">
        <v>0.68796157303833305</v>
      </c>
      <c r="G124" s="13">
        <v>1</v>
      </c>
      <c r="H124" s="18">
        <v>174.682315265271</v>
      </c>
      <c r="I124" s="19">
        <f t="shared" si="16"/>
        <v>213.14786053330255</v>
      </c>
      <c r="J124" s="20">
        <f t="shared" si="17"/>
        <v>213.14786053330255</v>
      </c>
      <c r="K124" s="17">
        <f t="shared" si="19"/>
        <v>190.00182519593415</v>
      </c>
      <c r="L124" s="43">
        <f t="shared" si="18"/>
        <v>-5.1195474243214321E-2</v>
      </c>
      <c r="M124" s="16">
        <v>117.9597324641317</v>
      </c>
      <c r="N124" s="45">
        <f t="shared" si="20"/>
        <v>0.31375975050041349</v>
      </c>
      <c r="O124" s="51">
        <v>83694.36</v>
      </c>
      <c r="P124" s="27">
        <f t="shared" si="22"/>
        <v>212.61110123205893</v>
      </c>
      <c r="Q124" s="7" t="e">
        <v>#N/A</v>
      </c>
      <c r="R124" s="59" t="e">
        <v>#N/A</v>
      </c>
      <c r="S124" s="98">
        <v>-21.3778236780825</v>
      </c>
      <c r="T124" s="67">
        <v>1</v>
      </c>
      <c r="U124" s="80">
        <v>229.70719468859099</v>
      </c>
      <c r="V124" s="78">
        <f t="shared" si="23"/>
        <v>233.98892491014144</v>
      </c>
      <c r="W124" s="79">
        <f t="shared" si="24"/>
        <v>233.98892491014144</v>
      </c>
      <c r="X124" s="17">
        <f t="shared" si="25"/>
        <v>230.88671124943545</v>
      </c>
      <c r="Y124" s="43">
        <f t="shared" si="26"/>
        <v>2.5262588504430229E-2</v>
      </c>
      <c r="Z124" s="16">
        <v>214.71694445569591</v>
      </c>
      <c r="AA124" s="45">
        <f t="shared" si="27"/>
        <v>1.0956315876044176E-2</v>
      </c>
    </row>
    <row r="125" spans="1:27" x14ac:dyDescent="0.2">
      <c r="A125" s="4">
        <f t="shared" si="21"/>
        <v>43132</v>
      </c>
      <c r="B125" s="26">
        <v>157007.22</v>
      </c>
      <c r="C125" s="27">
        <f t="shared" si="15"/>
        <v>94.307646026221718</v>
      </c>
      <c r="D125" s="7" t="e">
        <v>#N/A</v>
      </c>
      <c r="E125" s="8" t="e">
        <v>#N/A</v>
      </c>
      <c r="F125" s="100">
        <v>0.72176911526432597</v>
      </c>
      <c r="G125" s="13">
        <v>1</v>
      </c>
      <c r="H125" s="18">
        <v>163.254760069203</v>
      </c>
      <c r="I125" s="19">
        <f t="shared" si="16"/>
        <v>130.66179202151704</v>
      </c>
      <c r="J125" s="20">
        <f t="shared" si="17"/>
        <v>130.66179202151704</v>
      </c>
      <c r="K125" s="17">
        <f t="shared" si="19"/>
        <v>147.65971837762993</v>
      </c>
      <c r="L125" s="43">
        <f t="shared" si="18"/>
        <v>-0.2521232520148739</v>
      </c>
      <c r="M125" s="16">
        <v>117.2807382668112</v>
      </c>
      <c r="N125" s="45">
        <f t="shared" si="20"/>
        <v>2.8015042460960204E-2</v>
      </c>
      <c r="O125" s="51">
        <v>80920.94</v>
      </c>
      <c r="P125" s="27">
        <f t="shared" si="22"/>
        <v>205.5657055760193</v>
      </c>
      <c r="Q125" s="7" t="e">
        <v>#N/A</v>
      </c>
      <c r="R125" s="59" t="e">
        <v>#N/A</v>
      </c>
      <c r="S125" s="98">
        <v>-29.127582037921002</v>
      </c>
      <c r="T125" s="67">
        <v>1</v>
      </c>
      <c r="U125" s="80">
        <v>231.82654237784399</v>
      </c>
      <c r="V125" s="78">
        <f t="shared" si="23"/>
        <v>234.6932876139403</v>
      </c>
      <c r="W125" s="79">
        <f t="shared" si="24"/>
        <v>234.6932876139403</v>
      </c>
      <c r="X125" s="17">
        <f t="shared" si="25"/>
        <v>235.02836042833977</v>
      </c>
      <c r="Y125" s="43">
        <f t="shared" si="26"/>
        <v>1.7779026805100798E-2</v>
      </c>
      <c r="Z125" s="16">
        <v>215.42552540313329</v>
      </c>
      <c r="AA125" s="45">
        <f t="shared" si="27"/>
        <v>1.8106848132872999E-2</v>
      </c>
    </row>
    <row r="126" spans="1:27" x14ac:dyDescent="0.2">
      <c r="A126" s="4">
        <f t="shared" si="21"/>
        <v>43160</v>
      </c>
      <c r="B126" s="26">
        <v>177938.87999999995</v>
      </c>
      <c r="C126" s="27">
        <f t="shared" si="15"/>
        <v>106.88041549517493</v>
      </c>
      <c r="D126" s="7" t="e">
        <v>#N/A</v>
      </c>
      <c r="E126" s="8" t="e">
        <v>#N/A</v>
      </c>
      <c r="F126" s="100">
        <v>0.920054928268492</v>
      </c>
      <c r="G126" s="13">
        <v>1</v>
      </c>
      <c r="H126" s="18">
        <v>148.78486256677499</v>
      </c>
      <c r="I126" s="19">
        <f t="shared" si="16"/>
        <v>116.16742893418305</v>
      </c>
      <c r="J126" s="20">
        <f t="shared" si="17"/>
        <v>116.16742893418305</v>
      </c>
      <c r="K126" s="17">
        <f t="shared" si="19"/>
        <v>125.65787750985973</v>
      </c>
      <c r="L126" s="43">
        <f t="shared" si="18"/>
        <v>-0.16134747029973681</v>
      </c>
      <c r="M126" s="16">
        <v>116.5676408273453</v>
      </c>
      <c r="N126" s="45">
        <f t="shared" si="20"/>
        <v>-9.4936433879476367E-2</v>
      </c>
      <c r="O126" s="51">
        <v>67486.429999999993</v>
      </c>
      <c r="P126" s="27">
        <f t="shared" si="22"/>
        <v>171.43764765654768</v>
      </c>
      <c r="Q126" s="7" t="e">
        <v>#N/A</v>
      </c>
      <c r="R126" s="59" t="e">
        <v>#N/A</v>
      </c>
      <c r="S126" s="98">
        <v>-20.4444738078992</v>
      </c>
      <c r="T126" s="67">
        <v>0</v>
      </c>
      <c r="U126" s="80">
        <v>236.737941575337</v>
      </c>
      <c r="V126" s="78">
        <f t="shared" si="23"/>
        <v>191.88212146444687</v>
      </c>
      <c r="W126" s="79">
        <f t="shared" si="24"/>
        <v>236.737941575337</v>
      </c>
      <c r="X126" s="17">
        <f t="shared" si="25"/>
        <v>235.44794725213666</v>
      </c>
      <c r="Y126" s="43">
        <f t="shared" si="26"/>
        <v>1.7836687127034281E-3</v>
      </c>
      <c r="Z126" s="16">
        <v>216.08033328041489</v>
      </c>
      <c r="AA126" s="45">
        <f t="shared" si="27"/>
        <v>1.0387840332334752E-2</v>
      </c>
    </row>
    <row r="127" spans="1:27" x14ac:dyDescent="0.2">
      <c r="A127" s="4">
        <f t="shared" si="21"/>
        <v>43191</v>
      </c>
      <c r="B127" s="26">
        <v>226424.78</v>
      </c>
      <c r="C127" s="27">
        <f t="shared" si="15"/>
        <v>136.00386022888074</v>
      </c>
      <c r="D127" s="7" t="e">
        <v>#N/A</v>
      </c>
      <c r="E127" s="8" t="e">
        <v>#N/A</v>
      </c>
      <c r="F127" s="100">
        <v>0.97399646537558004</v>
      </c>
      <c r="G127" s="13">
        <v>1</v>
      </c>
      <c r="H127" s="18">
        <v>136.31845960966299</v>
      </c>
      <c r="I127" s="19">
        <f t="shared" si="16"/>
        <v>139.63486014955575</v>
      </c>
      <c r="J127" s="20">
        <f t="shared" si="17"/>
        <v>139.63486014955575</v>
      </c>
      <c r="K127" s="17">
        <f t="shared" si="19"/>
        <v>133.55667759745029</v>
      </c>
      <c r="L127" s="43">
        <f t="shared" si="18"/>
        <v>6.0962982941541025E-2</v>
      </c>
      <c r="M127" s="16">
        <v>115.82245036937471</v>
      </c>
      <c r="N127" s="45">
        <f t="shared" si="20"/>
        <v>-8.321272815008518E-2</v>
      </c>
      <c r="O127" s="51">
        <v>75058.450000000012</v>
      </c>
      <c r="P127" s="27">
        <f t="shared" si="22"/>
        <v>190.6730598247174</v>
      </c>
      <c r="Q127" s="7" t="e">
        <v>#N/A</v>
      </c>
      <c r="R127" s="59" t="e">
        <v>#N/A</v>
      </c>
      <c r="S127" s="98">
        <v>-42.949558419214902</v>
      </c>
      <c r="T127" s="67">
        <v>1</v>
      </c>
      <c r="U127" s="80">
        <v>242.95761908480199</v>
      </c>
      <c r="V127" s="78">
        <f t="shared" si="23"/>
        <v>233.62261824393229</v>
      </c>
      <c r="W127" s="79">
        <f t="shared" si="24"/>
        <v>233.62261824393229</v>
      </c>
      <c r="X127" s="17">
        <f t="shared" si="25"/>
        <v>238.37184904765724</v>
      </c>
      <c r="Y127" s="43">
        <f t="shared" si="26"/>
        <v>1.2341987115998324E-2</v>
      </c>
      <c r="Z127" s="16">
        <v>216.68280145215419</v>
      </c>
      <c r="AA127" s="45">
        <f t="shared" si="27"/>
        <v>6.3880680038315152E-3</v>
      </c>
    </row>
    <row r="128" spans="1:27" x14ac:dyDescent="0.2">
      <c r="A128" s="4">
        <f t="shared" si="21"/>
        <v>43221</v>
      </c>
      <c r="B128" s="26">
        <v>290434.69000000006</v>
      </c>
      <c r="C128" s="27">
        <f t="shared" si="15"/>
        <v>174.45192608502617</v>
      </c>
      <c r="D128" s="7" t="e">
        <v>#N/A</v>
      </c>
      <c r="E128" s="8" t="e">
        <v>#N/A</v>
      </c>
      <c r="F128" s="100">
        <v>1.25695278975848</v>
      </c>
      <c r="G128" s="13">
        <v>1</v>
      </c>
      <c r="H128" s="18">
        <v>127.158847868976</v>
      </c>
      <c r="I128" s="19">
        <f t="shared" si="16"/>
        <v>138.78956115650664</v>
      </c>
      <c r="J128" s="20">
        <f t="shared" si="17"/>
        <v>138.78956115650664</v>
      </c>
      <c r="K128" s="17">
        <f t="shared" si="19"/>
        <v>136.79199174927385</v>
      </c>
      <c r="L128" s="43">
        <f t="shared" si="18"/>
        <v>2.3935524594770562E-2</v>
      </c>
      <c r="M128" s="16">
        <v>115.04724725725281</v>
      </c>
      <c r="N128" s="45">
        <f t="shared" si="20"/>
        <v>-6.2872954520798552E-2</v>
      </c>
      <c r="O128" s="51">
        <v>87942.170000000013</v>
      </c>
      <c r="P128" s="27">
        <f t="shared" si="22"/>
        <v>223.40193064905375</v>
      </c>
      <c r="Q128" s="7" t="e">
        <v>#N/A</v>
      </c>
      <c r="R128" s="59" t="e">
        <v>#N/A</v>
      </c>
      <c r="S128" s="98">
        <v>-26.102287478373601</v>
      </c>
      <c r="T128" s="67">
        <v>1</v>
      </c>
      <c r="U128" s="80">
        <v>248.28055942622501</v>
      </c>
      <c r="V128" s="78">
        <f t="shared" si="23"/>
        <v>249.50421812742735</v>
      </c>
      <c r="W128" s="79">
        <f t="shared" si="24"/>
        <v>249.50421812742735</v>
      </c>
      <c r="X128" s="17">
        <f t="shared" si="25"/>
        <v>248.54209670858091</v>
      </c>
      <c r="Y128" s="43">
        <f t="shared" si="26"/>
        <v>4.1780389078340356E-2</v>
      </c>
      <c r="Z128" s="16">
        <v>217.23451272442639</v>
      </c>
      <c r="AA128" s="45">
        <f t="shared" si="27"/>
        <v>5.9613370166741841E-2</v>
      </c>
    </row>
    <row r="129" spans="1:27" x14ac:dyDescent="0.2">
      <c r="A129" s="4">
        <f t="shared" si="21"/>
        <v>43252</v>
      </c>
      <c r="B129" s="26">
        <v>265426.92</v>
      </c>
      <c r="C129" s="27">
        <f t="shared" si="15"/>
        <v>159.43080845065768</v>
      </c>
      <c r="D129" s="7" t="e">
        <v>#N/A</v>
      </c>
      <c r="E129" s="8" t="e">
        <v>#N/A</v>
      </c>
      <c r="F129" s="100">
        <v>1.2268250875239599</v>
      </c>
      <c r="G129" s="13">
        <v>1</v>
      </c>
      <c r="H129" s="18">
        <v>119.588208182253</v>
      </c>
      <c r="I129" s="19">
        <f t="shared" si="16"/>
        <v>129.9539845345264</v>
      </c>
      <c r="J129" s="20">
        <f t="shared" si="17"/>
        <v>129.9539845345264</v>
      </c>
      <c r="K129" s="17">
        <f t="shared" si="19"/>
        <v>130.54506461879507</v>
      </c>
      <c r="L129" s="43">
        <f t="shared" si="18"/>
        <v>-4.6742973728479388E-2</v>
      </c>
      <c r="M129" s="16">
        <v>114.24424869350931</v>
      </c>
      <c r="N129" s="45">
        <f t="shared" si="20"/>
        <v>-6.0654220057149821E-2</v>
      </c>
      <c r="O129" s="51">
        <v>106737.18</v>
      </c>
      <c r="P129" s="27">
        <f t="shared" si="22"/>
        <v>271.14741521656293</v>
      </c>
      <c r="Q129" s="7" t="e">
        <v>#N/A</v>
      </c>
      <c r="R129" s="59" t="e">
        <v>#N/A</v>
      </c>
      <c r="S129" s="98">
        <v>9.6100828810261802</v>
      </c>
      <c r="T129" s="67">
        <v>1</v>
      </c>
      <c r="U129" s="80">
        <v>250.668611910686</v>
      </c>
      <c r="V129" s="78">
        <f t="shared" si="23"/>
        <v>261.53733233553675</v>
      </c>
      <c r="W129" s="79">
        <f t="shared" si="24"/>
        <v>261.53733233553675</v>
      </c>
      <c r="X129" s="17">
        <f t="shared" si="25"/>
        <v>257.66677933687288</v>
      </c>
      <c r="Y129" s="43">
        <f t="shared" si="26"/>
        <v>3.6054962746972903E-2</v>
      </c>
      <c r="Z129" s="16">
        <v>217.73721725707381</v>
      </c>
      <c r="AA129" s="45">
        <f t="shared" si="27"/>
        <v>0.11733944643020999</v>
      </c>
    </row>
    <row r="130" spans="1:27" x14ac:dyDescent="0.2">
      <c r="A130" s="4">
        <f t="shared" si="21"/>
        <v>43282</v>
      </c>
      <c r="B130" s="26">
        <v>260050.77</v>
      </c>
      <c r="C130" s="27">
        <f t="shared" si="15"/>
        <v>156.20158083180124</v>
      </c>
      <c r="D130" s="7" t="e">
        <v>#N/A</v>
      </c>
      <c r="E130" s="8" t="e">
        <v>#N/A</v>
      </c>
      <c r="F130" s="100">
        <v>1.26496703665341</v>
      </c>
      <c r="G130" s="13">
        <v>1</v>
      </c>
      <c r="H130" s="18">
        <v>111.509237815897</v>
      </c>
      <c r="I130" s="19">
        <f t="shared" si="16"/>
        <v>123.48272824962088</v>
      </c>
      <c r="J130" s="20">
        <f t="shared" si="17"/>
        <v>123.48272824962088</v>
      </c>
      <c r="K130" s="17">
        <f t="shared" si="19"/>
        <v>113.83904913390084</v>
      </c>
      <c r="L130" s="43">
        <f t="shared" si="18"/>
        <v>-0.13693288880896159</v>
      </c>
      <c r="M130" s="16">
        <v>113.4158396641968</v>
      </c>
      <c r="N130" s="45">
        <f t="shared" si="20"/>
        <v>-0.10269459061961927</v>
      </c>
      <c r="O130" s="51">
        <v>107270.92</v>
      </c>
      <c r="P130" s="27">
        <f t="shared" si="22"/>
        <v>272.50328972437444</v>
      </c>
      <c r="Q130" s="7" t="e">
        <v>#N/A</v>
      </c>
      <c r="R130" s="59" t="e">
        <v>#N/A</v>
      </c>
      <c r="S130" s="98">
        <v>14.415055175383699</v>
      </c>
      <c r="T130" s="67">
        <v>1</v>
      </c>
      <c r="U130" s="80">
        <v>250.15606750706601</v>
      </c>
      <c r="V130" s="78">
        <f t="shared" si="23"/>
        <v>258.08823454899073</v>
      </c>
      <c r="W130" s="79">
        <f t="shared" si="24"/>
        <v>258.08823454899073</v>
      </c>
      <c r="X130" s="17">
        <f t="shared" si="25"/>
        <v>254.12543020213411</v>
      </c>
      <c r="Y130" s="43">
        <f t="shared" si="26"/>
        <v>-1.3839232367233285E-2</v>
      </c>
      <c r="Z130" s="16">
        <v>218.19290678080321</v>
      </c>
      <c r="AA130" s="45">
        <f t="shared" si="27"/>
        <v>9.2259186960570227E-2</v>
      </c>
    </row>
    <row r="131" spans="1:27" x14ac:dyDescent="0.2">
      <c r="A131" s="4">
        <f t="shared" si="21"/>
        <v>43313</v>
      </c>
      <c r="B131" s="26">
        <v>134849.91</v>
      </c>
      <c r="C131" s="27">
        <f t="shared" si="15"/>
        <v>80.998680053999152</v>
      </c>
      <c r="D131" s="7" t="e">
        <v>#N/A</v>
      </c>
      <c r="E131" s="8" t="e">
        <v>#N/A</v>
      </c>
      <c r="F131" s="100">
        <v>1.0326622963401899</v>
      </c>
      <c r="G131" s="13">
        <v>1</v>
      </c>
      <c r="H131" s="18">
        <v>101.55694940314299</v>
      </c>
      <c r="I131" s="19">
        <f t="shared" si="16"/>
        <v>78.436755501835194</v>
      </c>
      <c r="J131" s="20">
        <f t="shared" si="17"/>
        <v>78.436755501835194</v>
      </c>
      <c r="K131" s="17">
        <f t="shared" si="19"/>
        <v>93.644872783019508</v>
      </c>
      <c r="L131" s="43">
        <f t="shared" si="18"/>
        <v>-0.19527592241475009</v>
      </c>
      <c r="M131" s="16">
        <v>112.5645309332667</v>
      </c>
      <c r="N131" s="45">
        <f t="shared" si="20"/>
        <v>-0.1704178914669594</v>
      </c>
      <c r="O131" s="51">
        <v>107314.93000000002</v>
      </c>
      <c r="P131" s="27">
        <f t="shared" si="22"/>
        <v>272.61508954655153</v>
      </c>
      <c r="Q131" s="7" t="e">
        <v>#N/A</v>
      </c>
      <c r="R131" s="59" t="e">
        <v>#N/A</v>
      </c>
      <c r="S131" s="98">
        <v>33.827170171533297</v>
      </c>
      <c r="T131" s="67">
        <v>1</v>
      </c>
      <c r="U131" s="80">
        <v>246.59631387797401</v>
      </c>
      <c r="V131" s="78">
        <f t="shared" si="23"/>
        <v>238.78791937501825</v>
      </c>
      <c r="W131" s="79">
        <f t="shared" si="24"/>
        <v>238.78791937501825</v>
      </c>
      <c r="X131" s="17">
        <f t="shared" si="25"/>
        <v>243.18458928857302</v>
      </c>
      <c r="Y131" s="43">
        <f t="shared" si="26"/>
        <v>-4.4007183151000363E-2</v>
      </c>
      <c r="Z131" s="16">
        <v>218.60388112479129</v>
      </c>
      <c r="AA131" s="45">
        <f t="shared" si="27"/>
        <v>3.3452009167236341E-2</v>
      </c>
    </row>
    <row r="132" spans="1:27" x14ac:dyDescent="0.2">
      <c r="A132" s="4">
        <f t="shared" si="21"/>
        <v>43344</v>
      </c>
      <c r="B132" s="26">
        <v>174085</v>
      </c>
      <c r="C132" s="27">
        <f t="shared" ref="C132:C195" si="28">B132*C$2</f>
        <v>104.56555156173587</v>
      </c>
      <c r="D132" s="7" t="e">
        <v>#N/A</v>
      </c>
      <c r="E132" s="8" t="e">
        <v>#N/A</v>
      </c>
      <c r="F132" s="100">
        <v>1.1097637735561701</v>
      </c>
      <c r="G132" s="13">
        <v>1</v>
      </c>
      <c r="H132" s="18">
        <v>90.088984423234194</v>
      </c>
      <c r="I132" s="19">
        <f t="shared" ref="I132:I195" si="29">IFERROR(IF($F$2="NIV",C132-F132,C132/F132),NA())</f>
        <v>94.223251878786755</v>
      </c>
      <c r="J132" s="20">
        <f t="shared" ref="J132:J195" si="30">I132*G132+(1-G132)*H132</f>
        <v>94.223251878786755</v>
      </c>
      <c r="K132" s="17">
        <f t="shared" si="19"/>
        <v>86.387030875650453</v>
      </c>
      <c r="L132" s="43">
        <f t="shared" si="18"/>
        <v>-8.0672119741107703E-2</v>
      </c>
      <c r="M132" s="16">
        <v>111.69283653017381</v>
      </c>
      <c r="N132" s="45">
        <f t="shared" si="20"/>
        <v>-0.29638173769946075</v>
      </c>
      <c r="O132" s="51">
        <v>106008.77</v>
      </c>
      <c r="P132" s="27">
        <f t="shared" si="22"/>
        <v>269.29701511494983</v>
      </c>
      <c r="Q132" s="7" t="e">
        <v>#N/A</v>
      </c>
      <c r="R132" s="59" t="e">
        <v>#N/A</v>
      </c>
      <c r="S132" s="98">
        <v>32.222731259684899</v>
      </c>
      <c r="T132" s="67">
        <v>1</v>
      </c>
      <c r="U132" s="80">
        <v>239.89804915829399</v>
      </c>
      <c r="V132" s="78">
        <f t="shared" si="23"/>
        <v>237.07428385526492</v>
      </c>
      <c r="W132" s="79">
        <f t="shared" si="24"/>
        <v>237.07428385526492</v>
      </c>
      <c r="X132" s="17">
        <f t="shared" si="25"/>
        <v>236.32939129672496</v>
      </c>
      <c r="Y132" s="43">
        <f t="shared" si="26"/>
        <v>-2.859422393290216E-2</v>
      </c>
      <c r="Z132" s="16">
        <v>218.97271737534601</v>
      </c>
      <c r="AA132" s="45">
        <f t="shared" si="27"/>
        <v>-1.0945386806746393E-2</v>
      </c>
    </row>
    <row r="133" spans="1:27" x14ac:dyDescent="0.2">
      <c r="A133" s="4">
        <f t="shared" si="21"/>
        <v>43374</v>
      </c>
      <c r="B133" s="26">
        <v>132450.22000000003</v>
      </c>
      <c r="C133" s="27">
        <f t="shared" si="28"/>
        <v>79.557287007917182</v>
      </c>
      <c r="D133" s="7" t="e">
        <v>#N/A</v>
      </c>
      <c r="E133" s="8" t="e">
        <v>#N/A</v>
      </c>
      <c r="F133" s="100">
        <v>1.0113446171084099</v>
      </c>
      <c r="G133" s="13">
        <v>1</v>
      </c>
      <c r="H133" s="18">
        <v>80.943076459141807</v>
      </c>
      <c r="I133" s="19">
        <f t="shared" si="29"/>
        <v>78.664864243193108</v>
      </c>
      <c r="J133" s="20">
        <f t="shared" si="30"/>
        <v>78.664864243193108</v>
      </c>
      <c r="K133" s="17">
        <f t="shared" si="19"/>
        <v>81.951068313119976</v>
      </c>
      <c r="L133" s="43">
        <f t="shared" ref="L133:L196" si="31">LN(K133/K132)</f>
        <v>-5.2715217674612888E-2</v>
      </c>
      <c r="M133" s="16">
        <v>110.8031244993595</v>
      </c>
      <c r="N133" s="45">
        <f t="shared" si="20"/>
        <v>-0.46869171407648758</v>
      </c>
      <c r="O133" s="51">
        <v>103205.34</v>
      </c>
      <c r="P133" s="27">
        <f t="shared" si="22"/>
        <v>262.17538422456494</v>
      </c>
      <c r="Q133" s="7" t="e">
        <v>#N/A</v>
      </c>
      <c r="R133" s="59" t="e">
        <v>#N/A</v>
      </c>
      <c r="S133" s="98">
        <v>29.7943061232133</v>
      </c>
      <c r="T133" s="67">
        <v>1</v>
      </c>
      <c r="U133" s="80">
        <v>231.40013762253099</v>
      </c>
      <c r="V133" s="78">
        <f t="shared" si="23"/>
        <v>232.38107810135165</v>
      </c>
      <c r="W133" s="79">
        <f t="shared" si="24"/>
        <v>232.38107810135165</v>
      </c>
      <c r="X133" s="17">
        <f t="shared" si="25"/>
        <v>231.56744515825861</v>
      </c>
      <c r="Y133" s="43">
        <f t="shared" si="26"/>
        <v>-2.0355386867664117E-2</v>
      </c>
      <c r="Z133" s="16">
        <v>219.30218228472671</v>
      </c>
      <c r="AA133" s="45">
        <f t="shared" si="27"/>
        <v>-3.3651491216941554E-2</v>
      </c>
    </row>
    <row r="134" spans="1:27" x14ac:dyDescent="0.2">
      <c r="A134" s="4">
        <f t="shared" si="21"/>
        <v>43405</v>
      </c>
      <c r="B134" s="26">
        <v>259636.46000000005</v>
      </c>
      <c r="C134" s="27">
        <f t="shared" si="28"/>
        <v>155.952722207178</v>
      </c>
      <c r="D134" s="7" t="e">
        <v>#N/A</v>
      </c>
      <c r="E134" s="8" t="e">
        <v>#N/A</v>
      </c>
      <c r="F134" s="100">
        <v>0.90265890925627701</v>
      </c>
      <c r="G134" s="13">
        <v>0</v>
      </c>
      <c r="H134" s="18">
        <v>76.251292887306903</v>
      </c>
      <c r="I134" s="19">
        <f t="shared" si="29"/>
        <v>172.77037938469061</v>
      </c>
      <c r="J134" s="20">
        <f t="shared" si="30"/>
        <v>76.251292887306903</v>
      </c>
      <c r="K134" s="17">
        <f t="shared" si="19"/>
        <v>77.925231960967167</v>
      </c>
      <c r="L134" s="43">
        <f t="shared" si="31"/>
        <v>-5.0372538892770283E-2</v>
      </c>
      <c r="M134" s="16">
        <v>109.8975676244189</v>
      </c>
      <c r="N134" s="45">
        <f t="shared" si="20"/>
        <v>-0.57034760303518128</v>
      </c>
      <c r="O134" s="51">
        <v>98535.209999999992</v>
      </c>
      <c r="P134" s="27">
        <f t="shared" si="22"/>
        <v>250.31172361234596</v>
      </c>
      <c r="Q134" s="7" t="e">
        <v>#N/A</v>
      </c>
      <c r="R134" s="59" t="e">
        <v>#N/A</v>
      </c>
      <c r="S134" s="98">
        <v>25.8783830372798</v>
      </c>
      <c r="T134" s="67">
        <v>1</v>
      </c>
      <c r="U134" s="80">
        <v>222.70673074055799</v>
      </c>
      <c r="V134" s="78">
        <f t="shared" si="23"/>
        <v>224.43334057506615</v>
      </c>
      <c r="W134" s="79">
        <f t="shared" si="24"/>
        <v>224.43334057506615</v>
      </c>
      <c r="X134" s="17">
        <f t="shared" si="25"/>
        <v>226.54074876925651</v>
      </c>
      <c r="Y134" s="43">
        <f t="shared" si="26"/>
        <v>-2.1946335863661903E-2</v>
      </c>
      <c r="Z134" s="16">
        <v>219.59517653014609</v>
      </c>
      <c r="AA134" s="45">
        <f t="shared" si="27"/>
        <v>-1.4534014788858407E-2</v>
      </c>
    </row>
    <row r="135" spans="1:27" x14ac:dyDescent="0.2">
      <c r="A135" s="4">
        <f t="shared" si="21"/>
        <v>43435</v>
      </c>
      <c r="B135" s="26">
        <v>106564.04999999999</v>
      </c>
      <c r="C135" s="27">
        <f t="shared" si="28"/>
        <v>64.00855136802366</v>
      </c>
      <c r="D135" s="7" t="e">
        <v>#N/A</v>
      </c>
      <c r="E135" s="8" t="e">
        <v>#N/A</v>
      </c>
      <c r="F135" s="100">
        <v>0.79480674492005599</v>
      </c>
      <c r="G135" s="13">
        <v>1</v>
      </c>
      <c r="H135" s="18">
        <v>77.526808606603595</v>
      </c>
      <c r="I135" s="19">
        <f t="shared" si="29"/>
        <v>80.53347782606177</v>
      </c>
      <c r="J135" s="20">
        <f t="shared" si="30"/>
        <v>80.53347782606177</v>
      </c>
      <c r="K135" s="17">
        <f t="shared" ref="K135:K198" si="32">IFERROR((J134+2*J135+J136)/4,(J134+J135*2)/3)</f>
        <v>77.717126911747727</v>
      </c>
      <c r="L135" s="43">
        <f t="shared" si="31"/>
        <v>-2.674145711243628E-3</v>
      </c>
      <c r="M135" s="16">
        <v>108.978116065053</v>
      </c>
      <c r="N135" s="45">
        <f t="shared" si="20"/>
        <v>-0.61138008527650256</v>
      </c>
      <c r="O135" s="51">
        <v>89606.1</v>
      </c>
      <c r="P135" s="27">
        <f t="shared" si="22"/>
        <v>227.62885812269784</v>
      </c>
      <c r="Q135" s="7" t="e">
        <v>#N/A</v>
      </c>
      <c r="R135" s="59" t="e">
        <v>#N/A</v>
      </c>
      <c r="S135" s="98">
        <v>2.7136222971558199</v>
      </c>
      <c r="T135" s="67">
        <v>1</v>
      </c>
      <c r="U135" s="80">
        <v>216.17382058626799</v>
      </c>
      <c r="V135" s="78">
        <f t="shared" si="23"/>
        <v>224.91523582554203</v>
      </c>
      <c r="W135" s="79">
        <f t="shared" si="24"/>
        <v>224.91523582554203</v>
      </c>
      <c r="X135" s="17">
        <f t="shared" si="25"/>
        <v>219.26135831218696</v>
      </c>
      <c r="Y135" s="43">
        <f t="shared" si="26"/>
        <v>-3.2660399796747439E-2</v>
      </c>
      <c r="Z135" s="16">
        <v>219.85469542819541</v>
      </c>
      <c r="AA135" s="45">
        <f t="shared" si="27"/>
        <v>-2.6054701884339893E-2</v>
      </c>
    </row>
    <row r="136" spans="1:27" x14ac:dyDescent="0.2">
      <c r="A136" s="4">
        <f t="shared" si="21"/>
        <v>43466</v>
      </c>
      <c r="B136" s="26">
        <v>83487.419999999984</v>
      </c>
      <c r="C136" s="27">
        <f t="shared" si="28"/>
        <v>50.147388464062367</v>
      </c>
      <c r="D136" s="7" t="e">
        <v>#N/A</v>
      </c>
      <c r="E136" s="8" t="e">
        <v>#N/A</v>
      </c>
      <c r="F136" s="100">
        <v>0.68181117337365804</v>
      </c>
      <c r="G136" s="13">
        <v>1</v>
      </c>
      <c r="H136" s="18">
        <v>84.586311704936193</v>
      </c>
      <c r="I136" s="19">
        <f t="shared" si="29"/>
        <v>73.55025910756045</v>
      </c>
      <c r="J136" s="20">
        <f t="shared" si="30"/>
        <v>73.55025910756045</v>
      </c>
      <c r="K136" s="17">
        <f t="shared" si="32"/>
        <v>74.730983846708199</v>
      </c>
      <c r="L136" s="43">
        <f t="shared" si="31"/>
        <v>-3.9180873451601192E-2</v>
      </c>
      <c r="M136" s="16">
        <v>108.04647328084759</v>
      </c>
      <c r="N136" s="45">
        <f t="shared" si="20"/>
        <v>-0.60668281070645547</v>
      </c>
      <c r="O136" s="51">
        <v>70319.640000000014</v>
      </c>
      <c r="P136" s="27">
        <f t="shared" si="22"/>
        <v>178.63492950590629</v>
      </c>
      <c r="Q136" s="7" t="e">
        <v>#N/A</v>
      </c>
      <c r="R136" s="59" t="e">
        <v>#N/A</v>
      </c>
      <c r="S136" s="98">
        <v>-24.146691516691298</v>
      </c>
      <c r="T136" s="67">
        <v>1</v>
      </c>
      <c r="U136" s="80">
        <v>213.137113062927</v>
      </c>
      <c r="V136" s="78">
        <f t="shared" si="23"/>
        <v>202.78162102259759</v>
      </c>
      <c r="W136" s="79">
        <f t="shared" si="24"/>
        <v>202.78162102259759</v>
      </c>
      <c r="X136" s="17">
        <f t="shared" si="25"/>
        <v>208.74609706349258</v>
      </c>
      <c r="Y136" s="43">
        <f t="shared" si="26"/>
        <v>-4.9145768356835401E-2</v>
      </c>
      <c r="Z136" s="16">
        <v>220.08378788783941</v>
      </c>
      <c r="AA136" s="45">
        <f t="shared" si="27"/>
        <v>-9.5893843634957121E-2</v>
      </c>
    </row>
    <row r="137" spans="1:27" x14ac:dyDescent="0.2">
      <c r="A137" s="4">
        <f t="shared" si="21"/>
        <v>43497</v>
      </c>
      <c r="B137" s="26">
        <v>93137.39999999998</v>
      </c>
      <c r="C137" s="27">
        <f t="shared" si="28"/>
        <v>55.943726352218839</v>
      </c>
      <c r="D137" s="7" t="e">
        <v>#N/A</v>
      </c>
      <c r="E137" s="8" t="e">
        <v>#N/A</v>
      </c>
      <c r="F137" s="100">
        <v>0.78473522162748699</v>
      </c>
      <c r="G137" s="13">
        <v>1</v>
      </c>
      <c r="H137" s="18">
        <v>93.717969212058904</v>
      </c>
      <c r="I137" s="19">
        <f t="shared" si="29"/>
        <v>71.289939345650097</v>
      </c>
      <c r="J137" s="20">
        <f t="shared" si="30"/>
        <v>71.289939345650097</v>
      </c>
      <c r="K137" s="17">
        <f t="shared" si="32"/>
        <v>83.393828103698752</v>
      </c>
      <c r="L137" s="43">
        <f t="shared" si="31"/>
        <v>0.10967951986661971</v>
      </c>
      <c r="M137" s="16">
        <v>107.1041015200482</v>
      </c>
      <c r="N137" s="45">
        <f t="shared" si="20"/>
        <v>-0.4352296684568735</v>
      </c>
      <c r="O137" s="51">
        <v>68395.790000000008</v>
      </c>
      <c r="P137" s="27">
        <f t="shared" si="22"/>
        <v>173.74772005588721</v>
      </c>
      <c r="Q137" s="7" t="e">
        <v>#N/A</v>
      </c>
      <c r="R137" s="59" t="e">
        <v>#N/A</v>
      </c>
      <c r="S137" s="98">
        <v>-30.758190327345901</v>
      </c>
      <c r="T137" s="67">
        <v>1</v>
      </c>
      <c r="U137" s="80">
        <v>213.47063849635501</v>
      </c>
      <c r="V137" s="78">
        <f t="shared" si="23"/>
        <v>204.50591038323313</v>
      </c>
      <c r="W137" s="79">
        <f t="shared" si="24"/>
        <v>204.50591038323313</v>
      </c>
      <c r="X137" s="17">
        <f t="shared" si="25"/>
        <v>207.47860641368041</v>
      </c>
      <c r="Y137" s="43">
        <f t="shared" si="26"/>
        <v>-6.0904341197491989E-3</v>
      </c>
      <c r="Z137" s="16">
        <v>220.28549823982371</v>
      </c>
      <c r="AA137" s="45">
        <f t="shared" si="27"/>
        <v>-0.11721884952288253</v>
      </c>
    </row>
    <row r="138" spans="1:27" x14ac:dyDescent="0.2">
      <c r="A138" s="4">
        <f t="shared" si="21"/>
        <v>43525</v>
      </c>
      <c r="B138" s="26">
        <v>198837.54999999996</v>
      </c>
      <c r="C138" s="27">
        <f t="shared" si="28"/>
        <v>119.43336925601994</v>
      </c>
      <c r="D138" s="7" t="e">
        <v>#N/A</v>
      </c>
      <c r="E138" s="8" t="e">
        <v>#N/A</v>
      </c>
      <c r="F138" s="100">
        <v>1.0169287043642901</v>
      </c>
      <c r="G138" s="13">
        <v>1</v>
      </c>
      <c r="H138" s="18">
        <v>101.58783568026</v>
      </c>
      <c r="I138" s="19">
        <f t="shared" si="29"/>
        <v>117.44517461593436</v>
      </c>
      <c r="J138" s="20">
        <f t="shared" si="30"/>
        <v>117.44517461593436</v>
      </c>
      <c r="K138" s="17">
        <f t="shared" si="32"/>
        <v>106.95786665339287</v>
      </c>
      <c r="L138" s="43">
        <f t="shared" si="31"/>
        <v>0.24886068424631208</v>
      </c>
      <c r="M138" s="16">
        <v>106.1522059669402</v>
      </c>
      <c r="N138" s="45">
        <f t="shared" si="20"/>
        <v>-0.14881686072566014</v>
      </c>
      <c r="O138" s="51">
        <v>76836.59</v>
      </c>
      <c r="P138" s="27">
        <f t="shared" si="22"/>
        <v>195.19011812523814</v>
      </c>
      <c r="Q138" s="7" t="e">
        <v>#N/A</v>
      </c>
      <c r="R138" s="59" t="e">
        <v>#N/A</v>
      </c>
      <c r="S138" s="98">
        <v>-22.930865740419598</v>
      </c>
      <c r="T138" s="67">
        <v>1</v>
      </c>
      <c r="U138" s="80">
        <v>216.88219809434901</v>
      </c>
      <c r="V138" s="78">
        <f t="shared" si="23"/>
        <v>218.12098386565773</v>
      </c>
      <c r="W138" s="79">
        <f t="shared" si="24"/>
        <v>218.12098386565773</v>
      </c>
      <c r="X138" s="17">
        <f t="shared" si="25"/>
        <v>215.29269886241548</v>
      </c>
      <c r="Y138" s="43">
        <f t="shared" si="26"/>
        <v>3.6970259599567429E-2</v>
      </c>
      <c r="Z138" s="16">
        <v>220.4627833327207</v>
      </c>
      <c r="AA138" s="45">
        <f t="shared" si="27"/>
        <v>-8.5603839935530668E-2</v>
      </c>
    </row>
    <row r="139" spans="1:27" x14ac:dyDescent="0.2">
      <c r="A139" s="4">
        <f t="shared" si="21"/>
        <v>43556</v>
      </c>
      <c r="B139" s="26">
        <v>274971.94999999995</v>
      </c>
      <c r="C139" s="27">
        <f t="shared" si="28"/>
        <v>165.16410727952467</v>
      </c>
      <c r="D139" s="7" t="e">
        <v>#N/A</v>
      </c>
      <c r="E139" s="8" t="e">
        <v>#N/A</v>
      </c>
      <c r="F139" s="100">
        <v>0.96300058345008999</v>
      </c>
      <c r="G139" s="13">
        <v>0.22980946756565701</v>
      </c>
      <c r="H139" s="18">
        <v>106.77433971558099</v>
      </c>
      <c r="I139" s="19">
        <f t="shared" si="29"/>
        <v>171.50987249436565</v>
      </c>
      <c r="J139" s="20">
        <f t="shared" si="30"/>
        <v>121.65117803605264</v>
      </c>
      <c r="K139" s="17">
        <f t="shared" si="32"/>
        <v>123.11649055873886</v>
      </c>
      <c r="L139" s="43">
        <f t="shared" si="31"/>
        <v>0.14069599757076315</v>
      </c>
      <c r="M139" s="16">
        <v>105.19180885616829</v>
      </c>
      <c r="N139" s="45">
        <f t="shared" si="20"/>
        <v>-7.8170460859912416E-2</v>
      </c>
      <c r="O139" s="51">
        <v>67240.73</v>
      </c>
      <c r="P139" s="27">
        <f t="shared" si="22"/>
        <v>170.81348914009905</v>
      </c>
      <c r="Q139" s="7" t="e">
        <v>#N/A</v>
      </c>
      <c r="R139" s="59" t="e">
        <v>#N/A</v>
      </c>
      <c r="S139" s="98">
        <v>-49.609428195014203</v>
      </c>
      <c r="T139" s="67">
        <v>1</v>
      </c>
      <c r="U139" s="80">
        <v>222.75703504149101</v>
      </c>
      <c r="V139" s="78">
        <f t="shared" si="23"/>
        <v>220.42291733511325</v>
      </c>
      <c r="W139" s="79">
        <f t="shared" si="24"/>
        <v>220.42291733511325</v>
      </c>
      <c r="X139" s="17">
        <f t="shared" si="25"/>
        <v>226.44941185441425</v>
      </c>
      <c r="Y139" s="43">
        <f t="shared" si="26"/>
        <v>5.0523080422088883E-2</v>
      </c>
      <c r="Z139" s="16">
        <v>220.61850119648511</v>
      </c>
      <c r="AA139" s="45">
        <f t="shared" si="27"/>
        <v>-5.0016129173287349E-2</v>
      </c>
    </row>
    <row r="140" spans="1:27" x14ac:dyDescent="0.2">
      <c r="A140" s="4">
        <f t="shared" si="21"/>
        <v>43586</v>
      </c>
      <c r="B140" s="26">
        <v>273161.59999999998</v>
      </c>
      <c r="C140" s="27">
        <f t="shared" si="28"/>
        <v>164.07670603145743</v>
      </c>
      <c r="D140" s="7" t="e">
        <v>#N/A</v>
      </c>
      <c r="E140" s="8" t="e">
        <v>#N/A</v>
      </c>
      <c r="F140" s="100">
        <v>1.2456624642771901</v>
      </c>
      <c r="G140" s="13">
        <v>1</v>
      </c>
      <c r="H140" s="18">
        <v>107.815260225877</v>
      </c>
      <c r="I140" s="19">
        <f t="shared" si="29"/>
        <v>131.71843154691575</v>
      </c>
      <c r="J140" s="20">
        <f t="shared" si="30"/>
        <v>131.71843154691575</v>
      </c>
      <c r="K140" s="17">
        <f t="shared" si="32"/>
        <v>117.84397514413752</v>
      </c>
      <c r="L140" s="43">
        <f t="shared" si="31"/>
        <v>-4.3769479902800099E-2</v>
      </c>
      <c r="M140" s="16">
        <v>104.2239386388944</v>
      </c>
      <c r="N140" s="45">
        <f t="shared" si="20"/>
        <v>-0.1385170020761608</v>
      </c>
      <c r="O140" s="51">
        <v>85164.23000000001</v>
      </c>
      <c r="P140" s="27">
        <f t="shared" si="22"/>
        <v>216.34505271179984</v>
      </c>
      <c r="Q140" s="7" t="e">
        <v>#N/A</v>
      </c>
      <c r="R140" s="59" t="e">
        <v>#N/A</v>
      </c>
      <c r="S140" s="98">
        <v>-30.485776169972901</v>
      </c>
      <c r="T140" s="67">
        <v>1</v>
      </c>
      <c r="U140" s="80">
        <v>229.29583524049801</v>
      </c>
      <c r="V140" s="78">
        <f t="shared" si="23"/>
        <v>246.83082888177273</v>
      </c>
      <c r="W140" s="79">
        <f t="shared" si="24"/>
        <v>246.83082888177273</v>
      </c>
      <c r="X140" s="17">
        <f t="shared" si="25"/>
        <v>235.97109633692367</v>
      </c>
      <c r="Y140" s="43">
        <f t="shared" si="26"/>
        <v>4.1187751620278545E-2</v>
      </c>
      <c r="Z140" s="16">
        <v>220.75546996844409</v>
      </c>
      <c r="AA140" s="45">
        <f t="shared" si="27"/>
        <v>-5.0578958406377827E-2</v>
      </c>
    </row>
    <row r="141" spans="1:27" x14ac:dyDescent="0.2">
      <c r="A141" s="4">
        <f t="shared" si="21"/>
        <v>43617</v>
      </c>
      <c r="B141" s="26">
        <v>176760.43000000005</v>
      </c>
      <c r="C141" s="27">
        <f t="shared" si="28"/>
        <v>106.17257005049034</v>
      </c>
      <c r="D141" s="7" t="e">
        <v>#N/A</v>
      </c>
      <c r="E141" s="8" t="e">
        <v>#N/A</v>
      </c>
      <c r="F141" s="100">
        <v>1.2304462149291699</v>
      </c>
      <c r="G141" s="13">
        <v>1</v>
      </c>
      <c r="H141" s="18">
        <v>105.80885552958</v>
      </c>
      <c r="I141" s="19">
        <f t="shared" si="29"/>
        <v>86.287859446665948</v>
      </c>
      <c r="J141" s="20">
        <f t="shared" si="30"/>
        <v>86.287859446665948</v>
      </c>
      <c r="K141" s="17">
        <f t="shared" si="32"/>
        <v>93.775237028485265</v>
      </c>
      <c r="L141" s="43">
        <f t="shared" si="31"/>
        <v>-0.22846068139324066</v>
      </c>
      <c r="M141" s="16">
        <v>103.2497620740113</v>
      </c>
      <c r="N141" s="45">
        <f t="shared" si="20"/>
        <v>-0.28166386601961135</v>
      </c>
      <c r="O141" s="51">
        <v>94835.260000000009</v>
      </c>
      <c r="P141" s="27">
        <f t="shared" si="22"/>
        <v>240.91263813031884</v>
      </c>
      <c r="Q141" s="7" t="e">
        <v>#N/A</v>
      </c>
      <c r="R141" s="59" t="e">
        <v>#N/A</v>
      </c>
      <c r="S141" s="98">
        <v>11.1128278812829</v>
      </c>
      <c r="T141" s="67">
        <v>1</v>
      </c>
      <c r="U141" s="80">
        <v>234.97083108102399</v>
      </c>
      <c r="V141" s="78">
        <f t="shared" si="23"/>
        <v>229.79981024903594</v>
      </c>
      <c r="W141" s="79">
        <f t="shared" si="24"/>
        <v>229.79981024903594</v>
      </c>
      <c r="X141" s="17">
        <f t="shared" si="25"/>
        <v>233.46090895127645</v>
      </c>
      <c r="Y141" s="43">
        <f t="shared" si="26"/>
        <v>-1.0694674767680146E-2</v>
      </c>
      <c r="Z141" s="16">
        <v>220.87655277752339</v>
      </c>
      <c r="AA141" s="45">
        <f t="shared" si="27"/>
        <v>-9.3942534803641675E-2</v>
      </c>
    </row>
    <row r="142" spans="1:27" x14ac:dyDescent="0.2">
      <c r="A142" s="4">
        <f t="shared" si="21"/>
        <v>43647</v>
      </c>
      <c r="B142" s="26">
        <v>135786</v>
      </c>
      <c r="C142" s="27">
        <f t="shared" si="28"/>
        <v>81.560950020747725</v>
      </c>
      <c r="D142" s="7" t="e">
        <v>#N/A</v>
      </c>
      <c r="E142" s="8" t="e">
        <v>#N/A</v>
      </c>
      <c r="F142" s="100">
        <v>1.30151986541246</v>
      </c>
      <c r="G142" s="13">
        <v>0.80153809171998003</v>
      </c>
      <c r="H142" s="18">
        <v>103.685737998657</v>
      </c>
      <c r="I142" s="19">
        <f t="shared" si="29"/>
        <v>62.665927880325157</v>
      </c>
      <c r="J142" s="20">
        <f t="shared" si="30"/>
        <v>70.806797673693367</v>
      </c>
      <c r="K142" s="17">
        <f t="shared" si="32"/>
        <v>86.760822788296323</v>
      </c>
      <c r="L142" s="43">
        <f t="shared" si="31"/>
        <v>-7.774565418274576E-2</v>
      </c>
      <c r="M142" s="16">
        <v>102.27055101328421</v>
      </c>
      <c r="N142" s="45">
        <f t="shared" si="20"/>
        <v>-0.23786412967798343</v>
      </c>
      <c r="O142" s="51">
        <v>96383.4</v>
      </c>
      <c r="P142" s="27">
        <f t="shared" si="22"/>
        <v>244.84542105931664</v>
      </c>
      <c r="Q142" s="7" t="e">
        <v>#N/A</v>
      </c>
      <c r="R142" s="59" t="e">
        <v>#N/A</v>
      </c>
      <c r="S142" s="98">
        <v>17.432234634055501</v>
      </c>
      <c r="T142" s="67">
        <v>1</v>
      </c>
      <c r="U142" s="80">
        <v>238.32103002661799</v>
      </c>
      <c r="V142" s="78">
        <f t="shared" si="23"/>
        <v>227.41318642526113</v>
      </c>
      <c r="W142" s="79">
        <f t="shared" si="24"/>
        <v>227.41318642526113</v>
      </c>
      <c r="X142" s="17">
        <f t="shared" si="25"/>
        <v>232.68013782497275</v>
      </c>
      <c r="Y142" s="43">
        <f t="shared" si="26"/>
        <v>-3.3499382294693383E-3</v>
      </c>
      <c r="Z142" s="16">
        <v>220.9847301571705</v>
      </c>
      <c r="AA142" s="45">
        <f t="shared" si="27"/>
        <v>-8.4388612190852141E-2</v>
      </c>
    </row>
    <row r="143" spans="1:27" x14ac:dyDescent="0.2">
      <c r="A143" s="4">
        <f t="shared" si="21"/>
        <v>43678</v>
      </c>
      <c r="B143" s="26">
        <v>203047.57999999996</v>
      </c>
      <c r="C143" s="27">
        <f t="shared" si="28"/>
        <v>121.96215754358897</v>
      </c>
      <c r="D143" s="7" t="e">
        <v>#N/A</v>
      </c>
      <c r="E143" s="8" t="e">
        <v>#N/A</v>
      </c>
      <c r="F143" s="100">
        <v>1.0236719633559701</v>
      </c>
      <c r="G143" s="13">
        <v>1</v>
      </c>
      <c r="H143" s="18">
        <v>103.205161844871</v>
      </c>
      <c r="I143" s="19">
        <f t="shared" si="29"/>
        <v>119.1418363591326</v>
      </c>
      <c r="J143" s="20">
        <f t="shared" si="30"/>
        <v>119.1418363591326</v>
      </c>
      <c r="K143" s="17">
        <f t="shared" si="32"/>
        <v>105.61986361905821</v>
      </c>
      <c r="L143" s="43">
        <f t="shared" si="31"/>
        <v>0.19669128662449661</v>
      </c>
      <c r="M143" s="16">
        <v>101.28750420257541</v>
      </c>
      <c r="N143" s="45">
        <f t="shared" si="20"/>
        <v>0.127876630937237</v>
      </c>
      <c r="O143" s="51">
        <v>111191.3</v>
      </c>
      <c r="P143" s="27">
        <f t="shared" si="22"/>
        <v>282.4623396418138</v>
      </c>
      <c r="Q143" s="7" t="e">
        <v>#N/A</v>
      </c>
      <c r="R143" s="59" t="e">
        <v>#N/A</v>
      </c>
      <c r="S143" s="98">
        <v>36.367971441480996</v>
      </c>
      <c r="T143" s="67">
        <v>1</v>
      </c>
      <c r="U143" s="80">
        <v>238.915004956697</v>
      </c>
      <c r="V143" s="78">
        <f t="shared" si="23"/>
        <v>246.09436820033281</v>
      </c>
      <c r="W143" s="79">
        <f t="shared" si="24"/>
        <v>246.09436820033281</v>
      </c>
      <c r="X143" s="17">
        <f t="shared" si="25"/>
        <v>240.25117348563433</v>
      </c>
      <c r="Y143" s="43">
        <f t="shared" si="26"/>
        <v>3.2020220894612296E-2</v>
      </c>
      <c r="Z143" s="16">
        <v>221.08307974234819</v>
      </c>
      <c r="AA143" s="45">
        <f t="shared" si="27"/>
        <v>-1.2062506968555375E-2</v>
      </c>
    </row>
    <row r="144" spans="1:27" x14ac:dyDescent="0.2">
      <c r="A144" s="4">
        <f t="shared" si="21"/>
        <v>43709</v>
      </c>
      <c r="B144" s="26">
        <v>208479.53000000003</v>
      </c>
      <c r="C144" s="27">
        <f t="shared" si="28"/>
        <v>125.22490188000957</v>
      </c>
      <c r="D144" s="7" t="e">
        <v>#N/A</v>
      </c>
      <c r="E144" s="8" t="e">
        <v>#N/A</v>
      </c>
      <c r="F144" s="100">
        <v>1.10438331281757</v>
      </c>
      <c r="G144" s="13">
        <v>1</v>
      </c>
      <c r="H144" s="18">
        <v>106.33894955942399</v>
      </c>
      <c r="I144" s="19">
        <f t="shared" si="29"/>
        <v>113.3889840842743</v>
      </c>
      <c r="J144" s="20">
        <f t="shared" si="30"/>
        <v>113.3889840842743</v>
      </c>
      <c r="K144" s="17">
        <f t="shared" si="32"/>
        <v>112.76640572411212</v>
      </c>
      <c r="L144" s="43">
        <f t="shared" si="31"/>
        <v>6.5472017075233799E-2</v>
      </c>
      <c r="M144" s="16">
        <v>100.301700713919</v>
      </c>
      <c r="N144" s="45">
        <f t="shared" ref="N144:N207" si="33">(K144/K132)-1</f>
        <v>0.30536267517323723</v>
      </c>
      <c r="O144" s="51">
        <v>109774.16</v>
      </c>
      <c r="P144" s="27">
        <f t="shared" si="22"/>
        <v>278.86233964181378</v>
      </c>
      <c r="Q144" s="7" t="e">
        <v>#N/A</v>
      </c>
      <c r="R144" s="59" t="e">
        <v>#N/A</v>
      </c>
      <c r="S144" s="98">
        <v>37.459568525203203</v>
      </c>
      <c r="T144" s="67">
        <v>1</v>
      </c>
      <c r="U144" s="80">
        <v>237.577331164149</v>
      </c>
      <c r="V144" s="78">
        <f t="shared" si="23"/>
        <v>241.40277111661058</v>
      </c>
      <c r="W144" s="79">
        <f t="shared" si="24"/>
        <v>241.40277111661058</v>
      </c>
      <c r="X144" s="17">
        <f t="shared" si="25"/>
        <v>240.47910386370987</v>
      </c>
      <c r="Y144" s="43">
        <f t="shared" si="26"/>
        <v>9.4826727541306955E-4</v>
      </c>
      <c r="Z144" s="16">
        <v>221.17476941035909</v>
      </c>
      <c r="AA144" s="45">
        <f t="shared" si="27"/>
        <v>1.7559020248034685E-2</v>
      </c>
    </row>
    <row r="145" spans="1:27" x14ac:dyDescent="0.2">
      <c r="A145" s="4">
        <f t="shared" si="21"/>
        <v>43739</v>
      </c>
      <c r="B145" s="26">
        <v>172332.16000000003</v>
      </c>
      <c r="C145" s="27">
        <f t="shared" si="28"/>
        <v>103.5126941564484</v>
      </c>
      <c r="D145" s="7" t="e">
        <v>#N/A</v>
      </c>
      <c r="E145" s="8" t="e">
        <v>#N/A</v>
      </c>
      <c r="F145" s="100">
        <v>0.98446800607332596</v>
      </c>
      <c r="G145" s="13">
        <v>1</v>
      </c>
      <c r="H145" s="18">
        <v>112.784440012819</v>
      </c>
      <c r="I145" s="19">
        <f t="shared" si="29"/>
        <v>105.14581836876727</v>
      </c>
      <c r="J145" s="20">
        <f t="shared" si="30"/>
        <v>105.14581836876727</v>
      </c>
      <c r="K145" s="17">
        <f t="shared" si="32"/>
        <v>111.55279684907983</v>
      </c>
      <c r="L145" s="43">
        <f t="shared" si="31"/>
        <v>-1.0820479942391395E-2</v>
      </c>
      <c r="M145" s="16">
        <v>99.314253048047931</v>
      </c>
      <c r="N145" s="45">
        <f t="shared" si="33"/>
        <v>0.36121223487724508</v>
      </c>
      <c r="O145" s="51">
        <v>103182.69</v>
      </c>
      <c r="P145" s="27">
        <f t="shared" si="22"/>
        <v>262.11784580210849</v>
      </c>
      <c r="Q145" s="7" t="e">
        <v>#N/A</v>
      </c>
      <c r="R145" s="59" t="e">
        <v>#N/A</v>
      </c>
      <c r="S145" s="98">
        <v>29.101340780823001</v>
      </c>
      <c r="T145" s="67">
        <v>1</v>
      </c>
      <c r="U145" s="80">
        <v>235.15209479295001</v>
      </c>
      <c r="V145" s="78">
        <f t="shared" si="23"/>
        <v>233.0165050212855</v>
      </c>
      <c r="W145" s="79">
        <f t="shared" si="24"/>
        <v>233.0165050212855</v>
      </c>
      <c r="X145" s="17">
        <f t="shared" si="25"/>
        <v>235.22460695408526</v>
      </c>
      <c r="Y145" s="43">
        <f t="shared" si="26"/>
        <v>-2.2092367593950602E-2</v>
      </c>
      <c r="Z145" s="16">
        <v>221.26311494046851</v>
      </c>
      <c r="AA145" s="45">
        <f t="shared" si="27"/>
        <v>1.5793073993312312E-2</v>
      </c>
    </row>
    <row r="146" spans="1:27" x14ac:dyDescent="0.2">
      <c r="A146" s="4">
        <f t="shared" si="21"/>
        <v>43770</v>
      </c>
      <c r="B146" s="26">
        <v>163012.43000000005</v>
      </c>
      <c r="C146" s="27">
        <f t="shared" si="28"/>
        <v>97.914723579681564</v>
      </c>
      <c r="D146" s="7" t="e">
        <v>#N/A</v>
      </c>
      <c r="E146" s="8" t="e">
        <v>#N/A</v>
      </c>
      <c r="F146" s="100">
        <v>0.79910447096594395</v>
      </c>
      <c r="G146" s="13">
        <v>1</v>
      </c>
      <c r="H146" s="18">
        <v>118.848819426605</v>
      </c>
      <c r="I146" s="19">
        <f t="shared" si="29"/>
        <v>122.53056657451047</v>
      </c>
      <c r="J146" s="20">
        <f t="shared" si="30"/>
        <v>122.53056657451047</v>
      </c>
      <c r="K146" s="17">
        <f t="shared" si="32"/>
        <v>118.65501965326447</v>
      </c>
      <c r="L146" s="43">
        <f t="shared" si="31"/>
        <v>6.1722295208491304E-2</v>
      </c>
      <c r="M146" s="16">
        <v>98.326369883974465</v>
      </c>
      <c r="N146" s="45">
        <f t="shared" si="33"/>
        <v>0.52267778571001111</v>
      </c>
      <c r="O146" s="51">
        <v>103745.29000000001</v>
      </c>
      <c r="P146" s="27">
        <f t="shared" si="22"/>
        <v>263.54703416740762</v>
      </c>
      <c r="Q146" s="7" t="e">
        <v>#N/A</v>
      </c>
      <c r="R146" s="59" t="e">
        <v>#N/A</v>
      </c>
      <c r="S146" s="98">
        <v>30.084387510248199</v>
      </c>
      <c r="T146" s="67">
        <v>1</v>
      </c>
      <c r="U146" s="80">
        <v>231.47195124799001</v>
      </c>
      <c r="V146" s="78">
        <f t="shared" si="23"/>
        <v>233.46264665715941</v>
      </c>
      <c r="W146" s="79">
        <f t="shared" si="24"/>
        <v>233.46264665715941</v>
      </c>
      <c r="X146" s="17">
        <f t="shared" si="25"/>
        <v>228.91456839610328</v>
      </c>
      <c r="Y146" s="43">
        <f t="shared" si="26"/>
        <v>-2.7191961779294657E-2</v>
      </c>
      <c r="Z146" s="16">
        <v>221.35158106513671</v>
      </c>
      <c r="AA146" s="45">
        <f t="shared" si="27"/>
        <v>1.0478554695979359E-2</v>
      </c>
    </row>
    <row r="147" spans="1:27" x14ac:dyDescent="0.2">
      <c r="A147" s="4">
        <f t="shared" si="21"/>
        <v>43800</v>
      </c>
      <c r="B147" s="26">
        <v>164256.43000000002</v>
      </c>
      <c r="C147" s="27">
        <f t="shared" si="28"/>
        <v>98.661942157633703</v>
      </c>
      <c r="D147" s="7" t="e">
        <v>#N/A</v>
      </c>
      <c r="E147" s="8" t="e">
        <v>#N/A</v>
      </c>
      <c r="F147" s="100">
        <v>0.79301874698546104</v>
      </c>
      <c r="G147" s="13">
        <v>1</v>
      </c>
      <c r="H147" s="18">
        <v>119.96664047283301</v>
      </c>
      <c r="I147" s="19">
        <f t="shared" si="29"/>
        <v>124.41312709526972</v>
      </c>
      <c r="J147" s="20">
        <f t="shared" si="30"/>
        <v>124.41312709526972</v>
      </c>
      <c r="K147" s="17">
        <f t="shared" si="32"/>
        <v>116.50532596059644</v>
      </c>
      <c r="L147" s="43">
        <f t="shared" si="31"/>
        <v>-1.8283300016887272E-2</v>
      </c>
      <c r="M147" s="16">
        <v>97.339354333919374</v>
      </c>
      <c r="N147" s="45">
        <f t="shared" si="33"/>
        <v>0.4990946087455721</v>
      </c>
      <c r="O147" s="51">
        <v>86426.41</v>
      </c>
      <c r="P147" s="27">
        <f t="shared" si="22"/>
        <v>219.55140353105551</v>
      </c>
      <c r="Q147" s="7" t="e">
        <v>#N/A</v>
      </c>
      <c r="R147" s="59" t="e">
        <v>#N/A</v>
      </c>
      <c r="S147" s="98">
        <v>3.8349282822466702</v>
      </c>
      <c r="T147" s="67">
        <v>1</v>
      </c>
      <c r="U147" s="80">
        <v>225.51156447153301</v>
      </c>
      <c r="V147" s="78">
        <f t="shared" si="23"/>
        <v>215.71647524880885</v>
      </c>
      <c r="W147" s="79">
        <f t="shared" si="24"/>
        <v>215.71647524880885</v>
      </c>
      <c r="X147" s="17">
        <f t="shared" si="25"/>
        <v>221.53344624038837</v>
      </c>
      <c r="Y147" s="43">
        <f t="shared" si="26"/>
        <v>-3.2775293262210313E-2</v>
      </c>
      <c r="Z147" s="16">
        <v>221.4437402443867</v>
      </c>
      <c r="AA147" s="45">
        <f t="shared" si="27"/>
        <v>1.0362463982214187E-2</v>
      </c>
    </row>
    <row r="148" spans="1:27" x14ac:dyDescent="0.2">
      <c r="A148" s="4">
        <f t="shared" si="21"/>
        <v>43831</v>
      </c>
      <c r="B148" s="26">
        <v>105060.33</v>
      </c>
      <c r="C148" s="27">
        <f t="shared" si="28"/>
        <v>63.10532988889328</v>
      </c>
      <c r="D148" s="7" t="e">
        <v>#N/A</v>
      </c>
      <c r="E148" s="8" t="e">
        <v>#N/A</v>
      </c>
      <c r="F148" s="100">
        <v>0.66662097375358398</v>
      </c>
      <c r="G148" s="13">
        <v>1</v>
      </c>
      <c r="H148" s="18">
        <v>113.765631213275</v>
      </c>
      <c r="I148" s="19">
        <f t="shared" si="29"/>
        <v>94.664483077335831</v>
      </c>
      <c r="J148" s="20">
        <f t="shared" si="30"/>
        <v>94.664483077335831</v>
      </c>
      <c r="K148" s="17">
        <f t="shared" si="32"/>
        <v>113.18351046009954</v>
      </c>
      <c r="L148" s="43">
        <f t="shared" si="31"/>
        <v>-2.8926500515801215E-2</v>
      </c>
      <c r="M148" s="16">
        <v>96.354666366969028</v>
      </c>
      <c r="N148" s="45">
        <f t="shared" si="33"/>
        <v>0.51454597054773177</v>
      </c>
      <c r="O148" s="51">
        <v>76799.33</v>
      </c>
      <c r="P148" s="27">
        <f t="shared" si="22"/>
        <v>195.09546551505144</v>
      </c>
      <c r="Q148" s="7" t="e">
        <v>#N/A</v>
      </c>
      <c r="R148" s="59" t="e">
        <v>#N/A</v>
      </c>
      <c r="S148" s="98">
        <v>-26.142722291725001</v>
      </c>
      <c r="T148" s="67">
        <v>1</v>
      </c>
      <c r="U148" s="80">
        <v>216.37819587300399</v>
      </c>
      <c r="V148" s="78">
        <f t="shared" si="23"/>
        <v>221.23818780677644</v>
      </c>
      <c r="W148" s="79">
        <f t="shared" si="24"/>
        <v>221.23818780677644</v>
      </c>
      <c r="X148" s="17">
        <f t="shared" si="25"/>
        <v>217.53452552438239</v>
      </c>
      <c r="Y148" s="43">
        <f t="shared" si="26"/>
        <v>-1.8216000939627146E-2</v>
      </c>
      <c r="Z148" s="16">
        <v>221.54322329462491</v>
      </c>
      <c r="AA148" s="45">
        <f t="shared" si="27"/>
        <v>4.2101043250723391E-2</v>
      </c>
    </row>
    <row r="149" spans="1:27" x14ac:dyDescent="0.2">
      <c r="A149" s="4">
        <f t="shared" si="21"/>
        <v>43862</v>
      </c>
      <c r="B149" s="26">
        <v>189691.69</v>
      </c>
      <c r="C149" s="27">
        <f t="shared" si="28"/>
        <v>113.93983508934036</v>
      </c>
      <c r="D149" s="7" t="e">
        <v>#N/A</v>
      </c>
      <c r="E149" s="8" t="e">
        <v>#N/A</v>
      </c>
      <c r="F149" s="100">
        <v>0.81975852734511201</v>
      </c>
      <c r="G149" s="13">
        <v>1</v>
      </c>
      <c r="H149" s="18">
        <v>102.53859414435</v>
      </c>
      <c r="I149" s="19">
        <f t="shared" si="29"/>
        <v>138.99194859045679</v>
      </c>
      <c r="J149" s="20">
        <f t="shared" si="30"/>
        <v>138.99194859045679</v>
      </c>
      <c r="K149" s="17">
        <f t="shared" si="32"/>
        <v>116.72083283953428</v>
      </c>
      <c r="L149" s="43">
        <f t="shared" si="31"/>
        <v>3.0774551706812446E-2</v>
      </c>
      <c r="M149" s="16">
        <v>95.373913837792998</v>
      </c>
      <c r="N149" s="45">
        <f t="shared" si="33"/>
        <v>0.39963394766329685</v>
      </c>
      <c r="O149" s="51">
        <v>70153.739999999991</v>
      </c>
      <c r="P149" s="27">
        <f t="shared" si="22"/>
        <v>178.21348914009906</v>
      </c>
      <c r="Q149" s="7" t="e">
        <v>#N/A</v>
      </c>
      <c r="R149" s="59" t="e">
        <v>#N/A</v>
      </c>
      <c r="S149" s="98">
        <v>-33.731762095068802</v>
      </c>
      <c r="T149" s="67">
        <v>1</v>
      </c>
      <c r="U149" s="80">
        <v>204.70770748681301</v>
      </c>
      <c r="V149" s="78">
        <f t="shared" si="23"/>
        <v>211.94525123516786</v>
      </c>
      <c r="W149" s="79">
        <f t="shared" si="24"/>
        <v>211.94525123516786</v>
      </c>
      <c r="X149" s="17">
        <f t="shared" si="25"/>
        <v>211.50081932800435</v>
      </c>
      <c r="Y149" s="43">
        <f t="shared" si="26"/>
        <v>-2.8128703604223464E-2</v>
      </c>
      <c r="Z149" s="16">
        <v>221.65366172443419</v>
      </c>
      <c r="AA149" s="45">
        <f t="shared" si="27"/>
        <v>1.9386157367493828E-2</v>
      </c>
    </row>
    <row r="150" spans="1:27" x14ac:dyDescent="0.2">
      <c r="A150" s="4">
        <f t="shared" si="21"/>
        <v>43891</v>
      </c>
      <c r="B150" s="26">
        <v>173827.60000000003</v>
      </c>
      <c r="C150" s="27">
        <f t="shared" si="28"/>
        <v>104.41094218716606</v>
      </c>
      <c r="D150" s="7" t="e">
        <v>#N/A</v>
      </c>
      <c r="E150" s="8" t="e">
        <v>#N/A</v>
      </c>
      <c r="F150" s="100">
        <v>1.1079853172151799</v>
      </c>
      <c r="G150" s="13">
        <v>1</v>
      </c>
      <c r="H150" s="18">
        <v>89.177707674847397</v>
      </c>
      <c r="I150" s="19">
        <f t="shared" si="29"/>
        <v>94.234951099887709</v>
      </c>
      <c r="J150" s="20">
        <f t="shared" si="30"/>
        <v>94.234951099887709</v>
      </c>
      <c r="K150" s="17">
        <f t="shared" si="32"/>
        <v>97.352190705127342</v>
      </c>
      <c r="L150" s="43">
        <f t="shared" si="31"/>
        <v>-0.18144980459562329</v>
      </c>
      <c r="M150" s="16">
        <v>94.398834453252974</v>
      </c>
      <c r="N150" s="45">
        <f t="shared" si="33"/>
        <v>-8.9808036087645982E-2</v>
      </c>
      <c r="O150" s="51">
        <v>68643.75</v>
      </c>
      <c r="P150" s="27">
        <f t="shared" si="22"/>
        <v>174.37761971294296</v>
      </c>
      <c r="Q150" s="7" t="e">
        <v>#N/A</v>
      </c>
      <c r="R150" s="59" t="e">
        <v>#N/A</v>
      </c>
      <c r="S150" s="98">
        <v>-26.496967321962401</v>
      </c>
      <c r="T150" s="67">
        <v>1</v>
      </c>
      <c r="U150" s="80">
        <v>191.36635193270899</v>
      </c>
      <c r="V150" s="78">
        <f t="shared" si="23"/>
        <v>200.87458703490535</v>
      </c>
      <c r="W150" s="79">
        <f t="shared" si="24"/>
        <v>200.87458703490535</v>
      </c>
      <c r="X150" s="17">
        <f t="shared" si="25"/>
        <v>197.96144445877437</v>
      </c>
      <c r="Y150" s="43">
        <f t="shared" si="26"/>
        <v>-6.6156585592618208E-2</v>
      </c>
      <c r="Z150" s="16">
        <v>221.77865611108641</v>
      </c>
      <c r="AA150" s="45">
        <f t="shared" si="27"/>
        <v>-8.0500892483663766E-2</v>
      </c>
    </row>
    <row r="151" spans="1:27" x14ac:dyDescent="0.2">
      <c r="A151" s="4">
        <f t="shared" si="21"/>
        <v>43922</v>
      </c>
      <c r="B151" s="26">
        <v>44793.299999999996</v>
      </c>
      <c r="C151" s="27">
        <f t="shared" si="28"/>
        <v>26.90545492587129</v>
      </c>
      <c r="D151" s="7" t="e">
        <v>#N/A</v>
      </c>
      <c r="E151" s="8" t="e">
        <v>#N/A</v>
      </c>
      <c r="F151" s="100">
        <v>0.97901015581789796</v>
      </c>
      <c r="G151" s="13">
        <v>0.295344792946997</v>
      </c>
      <c r="H151" s="18">
        <v>76.392193011808203</v>
      </c>
      <c r="I151" s="19">
        <f t="shared" si="29"/>
        <v>27.482304208982971</v>
      </c>
      <c r="J151" s="20">
        <f t="shared" si="30"/>
        <v>61.94691203027714</v>
      </c>
      <c r="K151" s="17">
        <f t="shared" si="32"/>
        <v>64.098046086437577</v>
      </c>
      <c r="L151" s="43">
        <f t="shared" si="31"/>
        <v>-0.41792135376498385</v>
      </c>
      <c r="M151" s="16">
        <v>93.431330634092362</v>
      </c>
      <c r="N151" s="45">
        <f t="shared" si="33"/>
        <v>-0.47937075045315392</v>
      </c>
      <c r="O151" s="51">
        <v>15882</v>
      </c>
      <c r="P151" s="27">
        <f t="shared" si="22"/>
        <v>40.34548456750921</v>
      </c>
      <c r="Q151" s="7" t="e">
        <v>#N/A</v>
      </c>
      <c r="R151" s="59" t="e">
        <v>#N/A</v>
      </c>
      <c r="S151" s="98">
        <v>-52.527372667641899</v>
      </c>
      <c r="T151" s="67">
        <v>0</v>
      </c>
      <c r="U151" s="80">
        <v>178.151352530119</v>
      </c>
      <c r="V151" s="78">
        <f t="shared" si="23"/>
        <v>92.872857235151116</v>
      </c>
      <c r="W151" s="79">
        <f t="shared" si="24"/>
        <v>178.151352530119</v>
      </c>
      <c r="X151" s="17">
        <f t="shared" si="25"/>
        <v>180.89893471706159</v>
      </c>
      <c r="Y151" s="43">
        <f t="shared" si="26"/>
        <v>-9.0133783188147951E-2</v>
      </c>
      <c r="Z151" s="16">
        <v>221.9217286920219</v>
      </c>
      <c r="AA151" s="45">
        <f t="shared" si="27"/>
        <v>-0.2011507857950956</v>
      </c>
    </row>
    <row r="152" spans="1:27" x14ac:dyDescent="0.2">
      <c r="A152" s="4">
        <f t="shared" si="21"/>
        <v>43952</v>
      </c>
      <c r="B152" s="26">
        <v>78667.629999999976</v>
      </c>
      <c r="C152" s="27">
        <f t="shared" si="28"/>
        <v>47.252342941692611</v>
      </c>
      <c r="D152" s="7" t="e">
        <v>#N/A</v>
      </c>
      <c r="E152" s="8" t="e">
        <v>#N/A</v>
      </c>
      <c r="F152" s="100">
        <v>1.23492244804563</v>
      </c>
      <c r="G152" s="13">
        <v>1</v>
      </c>
      <c r="H152" s="18">
        <v>67.308977901005505</v>
      </c>
      <c r="I152" s="19">
        <f t="shared" si="29"/>
        <v>38.263409185308333</v>
      </c>
      <c r="J152" s="20">
        <f t="shared" si="30"/>
        <v>38.263409185308333</v>
      </c>
      <c r="K152" s="17">
        <f t="shared" si="32"/>
        <v>51.221463263583935</v>
      </c>
      <c r="L152" s="43">
        <f t="shared" si="31"/>
        <v>-0.22425523262043237</v>
      </c>
      <c r="M152" s="16">
        <v>92.473327589296872</v>
      </c>
      <c r="N152" s="45">
        <f t="shared" si="33"/>
        <v>-0.56534508275935313</v>
      </c>
      <c r="O152" s="51">
        <v>26088.379999999997</v>
      </c>
      <c r="P152" s="27">
        <f t="shared" si="22"/>
        <v>66.273034421440357</v>
      </c>
      <c r="Q152" s="7" t="e">
        <v>#N/A</v>
      </c>
      <c r="R152" s="59" t="e">
        <v>#N/A</v>
      </c>
      <c r="S152" s="98">
        <v>-34.216947265039998</v>
      </c>
      <c r="T152" s="67">
        <v>0</v>
      </c>
      <c r="U152" s="80">
        <v>166.418446773103</v>
      </c>
      <c r="V152" s="78">
        <f t="shared" si="23"/>
        <v>100.48998168648035</v>
      </c>
      <c r="W152" s="79">
        <f t="shared" si="24"/>
        <v>166.418446773103</v>
      </c>
      <c r="X152" s="17">
        <f t="shared" si="25"/>
        <v>167.68196595571692</v>
      </c>
      <c r="Y152" s="43">
        <f t="shared" si="26"/>
        <v>-7.58693780757424E-2</v>
      </c>
      <c r="Z152" s="16">
        <v>222.0862179298972</v>
      </c>
      <c r="AA152" s="45">
        <f t="shared" si="27"/>
        <v>-0.28939616521382061</v>
      </c>
    </row>
    <row r="153" spans="1:27" x14ac:dyDescent="0.2">
      <c r="A153" s="4">
        <f t="shared" ref="A153:A216" si="34">EDATE(A152,1)</f>
        <v>43983</v>
      </c>
      <c r="B153" s="26">
        <v>133137.00999999998</v>
      </c>
      <c r="C153" s="27">
        <f t="shared" si="28"/>
        <v>79.969812930064876</v>
      </c>
      <c r="D153" s="7" t="e">
        <v>#N/A</v>
      </c>
      <c r="E153" s="8" t="e">
        <v>#N/A</v>
      </c>
      <c r="F153" s="100">
        <v>1.2041448117442499</v>
      </c>
      <c r="G153" s="13">
        <v>1</v>
      </c>
      <c r="H153" s="18">
        <v>62.400115867819601</v>
      </c>
      <c r="I153" s="19">
        <f t="shared" si="29"/>
        <v>66.412122653441941</v>
      </c>
      <c r="J153" s="20">
        <f t="shared" si="30"/>
        <v>66.412122653441941</v>
      </c>
      <c r="K153" s="17">
        <f t="shared" si="32"/>
        <v>62.590608425795715</v>
      </c>
      <c r="L153" s="43">
        <f t="shared" si="31"/>
        <v>0.20045659313338798</v>
      </c>
      <c r="M153" s="16">
        <v>91.5265241907789</v>
      </c>
      <c r="N153" s="45">
        <f t="shared" si="33"/>
        <v>-0.33254651857842676</v>
      </c>
      <c r="O153" s="51">
        <v>67448.549999999988</v>
      </c>
      <c r="P153" s="27">
        <f t="shared" si="22"/>
        <v>171.34142004318554</v>
      </c>
      <c r="Q153" s="7" t="e">
        <v>#N/A</v>
      </c>
      <c r="R153" s="59" t="e">
        <v>#N/A</v>
      </c>
      <c r="S153" s="98">
        <v>11.6018022966429</v>
      </c>
      <c r="T153" s="67">
        <v>1</v>
      </c>
      <c r="U153" s="80">
        <v>157.781601533356</v>
      </c>
      <c r="V153" s="78">
        <f t="shared" si="23"/>
        <v>159.73961774654265</v>
      </c>
      <c r="W153" s="79">
        <f t="shared" si="24"/>
        <v>159.73961774654265</v>
      </c>
      <c r="X153" s="17">
        <f t="shared" si="25"/>
        <v>160.08005097092408</v>
      </c>
      <c r="Y153" s="43">
        <f t="shared" si="26"/>
        <v>-4.6395116829095973E-2</v>
      </c>
      <c r="Z153" s="16">
        <v>222.275145753468</v>
      </c>
      <c r="AA153" s="45">
        <f t="shared" si="27"/>
        <v>-0.31431753739837898</v>
      </c>
    </row>
    <row r="154" spans="1:27" x14ac:dyDescent="0.2">
      <c r="A154" s="4">
        <f t="shared" si="34"/>
        <v>44013</v>
      </c>
      <c r="B154" s="26">
        <v>169827.24000000005</v>
      </c>
      <c r="C154" s="27">
        <f t="shared" si="28"/>
        <v>102.00809386683113</v>
      </c>
      <c r="D154" s="7" t="e">
        <v>#N/A</v>
      </c>
      <c r="E154" s="8" t="e">
        <v>#N/A</v>
      </c>
      <c r="F154" s="100">
        <v>1.28676604188749</v>
      </c>
      <c r="G154" s="13">
        <v>1</v>
      </c>
      <c r="H154" s="18">
        <v>59.709215270168102</v>
      </c>
      <c r="I154" s="19">
        <f t="shared" si="29"/>
        <v>79.274779210990658</v>
      </c>
      <c r="J154" s="20">
        <f t="shared" si="30"/>
        <v>79.274779210990658</v>
      </c>
      <c r="K154" s="17">
        <f t="shared" si="32"/>
        <v>71.378576311501561</v>
      </c>
      <c r="L154" s="43">
        <f t="shared" si="31"/>
        <v>0.13138253095726937</v>
      </c>
      <c r="M154" s="16">
        <v>90.592301009031146</v>
      </c>
      <c r="N154" s="45">
        <f t="shared" si="33"/>
        <v>-0.17729484325348932</v>
      </c>
      <c r="O154" s="51">
        <v>84819.81</v>
      </c>
      <c r="P154" s="27">
        <f t="shared" si="22"/>
        <v>215.47011304458275</v>
      </c>
      <c r="Q154" s="7" t="e">
        <v>#N/A</v>
      </c>
      <c r="R154" s="59" t="e">
        <v>#N/A</v>
      </c>
      <c r="S154" s="98">
        <v>22.2761962601571</v>
      </c>
      <c r="T154" s="67">
        <v>0</v>
      </c>
      <c r="U154" s="80">
        <v>154.42252161750801</v>
      </c>
      <c r="V154" s="78">
        <f t="shared" si="23"/>
        <v>193.19391678442565</v>
      </c>
      <c r="W154" s="79">
        <f t="shared" si="24"/>
        <v>154.42252161750801</v>
      </c>
      <c r="X154" s="17">
        <f t="shared" si="25"/>
        <v>157.01535212262797</v>
      </c>
      <c r="Y154" s="43">
        <f t="shared" si="26"/>
        <v>-1.9330423896195097E-2</v>
      </c>
      <c r="Z154" s="16">
        <v>222.49111430558941</v>
      </c>
      <c r="AA154" s="45">
        <f t="shared" si="27"/>
        <v>-0.32518798729293141</v>
      </c>
    </row>
    <row r="155" spans="1:27" x14ac:dyDescent="0.2">
      <c r="A155" s="4">
        <f t="shared" si="34"/>
        <v>44044</v>
      </c>
      <c r="B155" s="26">
        <v>106755.03</v>
      </c>
      <c r="C155" s="27">
        <f t="shared" si="28"/>
        <v>64.123265036847869</v>
      </c>
      <c r="D155" s="7" t="e">
        <v>#N/A</v>
      </c>
      <c r="E155" s="8" t="e">
        <v>#N/A</v>
      </c>
      <c r="F155" s="100">
        <v>1.0589675660662701</v>
      </c>
      <c r="G155" s="13">
        <v>1</v>
      </c>
      <c r="H155" s="18">
        <v>56.4239424643308</v>
      </c>
      <c r="I155" s="19">
        <f t="shared" si="29"/>
        <v>60.552624170582995</v>
      </c>
      <c r="J155" s="20">
        <f t="shared" si="30"/>
        <v>60.552624170582995</v>
      </c>
      <c r="K155" s="17">
        <f t="shared" si="32"/>
        <v>64.496309865017224</v>
      </c>
      <c r="L155" s="43">
        <f t="shared" si="31"/>
        <v>-0.10138976189138008</v>
      </c>
      <c r="M155" s="16">
        <v>89.671815343589088</v>
      </c>
      <c r="N155" s="45">
        <f t="shared" si="33"/>
        <v>-0.38935435385868633</v>
      </c>
      <c r="O155" s="51">
        <v>77825.989999999991</v>
      </c>
      <c r="P155" s="27">
        <f t="shared" si="22"/>
        <v>197.70351835386762</v>
      </c>
      <c r="Q155" s="7" t="e">
        <v>#N/A</v>
      </c>
      <c r="R155" s="59" t="e">
        <v>#N/A</v>
      </c>
      <c r="S155" s="98">
        <v>38.226770844914398</v>
      </c>
      <c r="T155" s="67">
        <v>1</v>
      </c>
      <c r="U155" s="80">
        <v>156.543944936348</v>
      </c>
      <c r="V155" s="78">
        <f t="shared" si="23"/>
        <v>159.47674750895322</v>
      </c>
      <c r="W155" s="79">
        <f t="shared" si="24"/>
        <v>159.47674750895322</v>
      </c>
      <c r="X155" s="17">
        <f t="shared" si="25"/>
        <v>159.70443013514054</v>
      </c>
      <c r="Y155" s="43">
        <f t="shared" si="26"/>
        <v>1.6981210405706302E-2</v>
      </c>
      <c r="Z155" s="16">
        <v>222.73624582870011</v>
      </c>
      <c r="AA155" s="45">
        <f t="shared" si="27"/>
        <v>-0.3352605616109926</v>
      </c>
    </row>
    <row r="156" spans="1:27" x14ac:dyDescent="0.2">
      <c r="A156" s="4">
        <f t="shared" si="34"/>
        <v>44075</v>
      </c>
      <c r="B156" s="26">
        <v>105941.04</v>
      </c>
      <c r="C156" s="27">
        <f t="shared" si="28"/>
        <v>63.634335414446518</v>
      </c>
      <c r="D156" s="7" t="e">
        <v>#N/A</v>
      </c>
      <c r="E156" s="8" t="e">
        <v>#N/A</v>
      </c>
      <c r="F156" s="100">
        <v>1.1046628127359801</v>
      </c>
      <c r="G156" s="13">
        <v>1</v>
      </c>
      <c r="H156" s="18">
        <v>50.345186322863</v>
      </c>
      <c r="I156" s="19">
        <f t="shared" si="29"/>
        <v>57.605211907912249</v>
      </c>
      <c r="J156" s="20">
        <f t="shared" si="30"/>
        <v>57.605211907912249</v>
      </c>
      <c r="K156" s="17">
        <f t="shared" si="32"/>
        <v>54.311816037023675</v>
      </c>
      <c r="L156" s="43">
        <f t="shared" si="31"/>
        <v>-0.17186620092797592</v>
      </c>
      <c r="M156" s="16">
        <v>88.766076239941327</v>
      </c>
      <c r="N156" s="45">
        <f t="shared" si="33"/>
        <v>-0.51836882901189663</v>
      </c>
      <c r="O156" s="51">
        <v>80817.67</v>
      </c>
      <c r="P156" s="27">
        <f t="shared" ref="P156:P219" si="35">O156*P$2</f>
        <v>205.30336593420552</v>
      </c>
      <c r="Q156" s="7" t="e">
        <v>#N/A</v>
      </c>
      <c r="R156" s="59" t="e">
        <v>#N/A</v>
      </c>
      <c r="S156" s="98">
        <v>39.861662029057797</v>
      </c>
      <c r="T156" s="67">
        <v>1</v>
      </c>
      <c r="U156" s="80">
        <v>162.07546584949799</v>
      </c>
      <c r="V156" s="78">
        <f t="shared" ref="V156:V219" si="36">IFERROR(IF($S$2="NIV",P156-S156,P156/S156),NA())</f>
        <v>165.44170390514773</v>
      </c>
      <c r="W156" s="79">
        <f t="shared" ref="W156:W219" si="37">V156*T156+(1-T156)*U156</f>
        <v>165.44170390514773</v>
      </c>
      <c r="X156" s="17">
        <f t="shared" si="25"/>
        <v>159.61749873986031</v>
      </c>
      <c r="Y156" s="43">
        <f t="shared" si="26"/>
        <v>-5.4447496126611096E-4</v>
      </c>
      <c r="Z156" s="16">
        <v>223.01215735102079</v>
      </c>
      <c r="AA156" s="45">
        <f t="shared" si="27"/>
        <v>-0.33625210600284594</v>
      </c>
    </row>
    <row r="157" spans="1:27" x14ac:dyDescent="0.2">
      <c r="A157" s="4">
        <f t="shared" si="34"/>
        <v>44105</v>
      </c>
      <c r="B157" s="26">
        <v>12289.05</v>
      </c>
      <c r="C157" s="27">
        <f t="shared" si="28"/>
        <v>7.3815164512723683</v>
      </c>
      <c r="D157" s="7" t="e">
        <v>#N/A</v>
      </c>
      <c r="E157" s="8" t="e">
        <v>#N/A</v>
      </c>
      <c r="F157" s="100">
        <v>0.98092999092879596</v>
      </c>
      <c r="G157" s="13">
        <v>0</v>
      </c>
      <c r="H157" s="18">
        <v>41.4842161616872</v>
      </c>
      <c r="I157" s="19">
        <f t="shared" si="29"/>
        <v>7.525018624706501</v>
      </c>
      <c r="J157" s="20">
        <f t="shared" si="30"/>
        <v>41.4842161616872</v>
      </c>
      <c r="K157" s="17">
        <f t="shared" si="32"/>
        <v>41.128755212222842</v>
      </c>
      <c r="L157" s="43">
        <f t="shared" si="31"/>
        <v>-0.27803429277388431</v>
      </c>
      <c r="M157" s="16">
        <v>87.875898488131327</v>
      </c>
      <c r="N157" s="45">
        <f t="shared" si="33"/>
        <v>-0.63130682175664243</v>
      </c>
      <c r="O157" s="51">
        <v>69434.44</v>
      </c>
      <c r="P157" s="27">
        <f t="shared" si="35"/>
        <v>176.38623142385367</v>
      </c>
      <c r="Q157" s="7" t="e">
        <v>#N/A</v>
      </c>
      <c r="R157" s="59" t="e">
        <v>#N/A</v>
      </c>
      <c r="S157" s="98">
        <v>30.127479581033299</v>
      </c>
      <c r="T157" s="67">
        <v>0.92072225943387498</v>
      </c>
      <c r="U157" s="80">
        <v>169.60815337916</v>
      </c>
      <c r="V157" s="78">
        <f t="shared" si="36"/>
        <v>146.25875184282037</v>
      </c>
      <c r="W157" s="79">
        <f t="shared" si="37"/>
        <v>148.10983964019258</v>
      </c>
      <c r="X157" s="17">
        <f t="shared" ref="X157:X220" si="38">IFERROR((W156+2*W157+W158)/4,(W156+W157*2)/3)</f>
        <v>164.03241944651376</v>
      </c>
      <c r="Y157" s="43">
        <f t="shared" si="26"/>
        <v>2.7283767607340199E-2</v>
      </c>
      <c r="Z157" s="16">
        <v>223.31997954417241</v>
      </c>
      <c r="AA157" s="45">
        <f t="shared" si="27"/>
        <v>-0.30265620773879276</v>
      </c>
    </row>
    <row r="158" spans="1:27" x14ac:dyDescent="0.2">
      <c r="A158" s="4">
        <f t="shared" si="34"/>
        <v>44136</v>
      </c>
      <c r="B158" s="26">
        <v>28315.760000000002</v>
      </c>
      <c r="C158" s="27">
        <f t="shared" si="28"/>
        <v>17.008088360799256</v>
      </c>
      <c r="D158" s="7" t="e">
        <v>#N/A</v>
      </c>
      <c r="E158" s="8" t="e">
        <v>#N/A</v>
      </c>
      <c r="F158" s="100">
        <v>0.71040561419900905</v>
      </c>
      <c r="G158" s="13">
        <v>1</v>
      </c>
      <c r="H158" s="18">
        <v>33.176974210607298</v>
      </c>
      <c r="I158" s="19">
        <f t="shared" si="29"/>
        <v>23.941376617604693</v>
      </c>
      <c r="J158" s="20">
        <f t="shared" si="30"/>
        <v>23.941376617604693</v>
      </c>
      <c r="K158" s="17">
        <f t="shared" si="32"/>
        <v>29.786241638900847</v>
      </c>
      <c r="L158" s="43">
        <f t="shared" si="31"/>
        <v>-0.32266092013819164</v>
      </c>
      <c r="M158" s="16">
        <v>87.00183102742966</v>
      </c>
      <c r="N158" s="45">
        <f t="shared" si="33"/>
        <v>-0.74896770717376593</v>
      </c>
      <c r="O158" s="51">
        <v>88775.679999999993</v>
      </c>
      <c r="P158" s="27">
        <f t="shared" si="35"/>
        <v>225.51931919217577</v>
      </c>
      <c r="Q158" s="7" t="e">
        <v>#N/A</v>
      </c>
      <c r="R158" s="59" t="e">
        <v>#N/A</v>
      </c>
      <c r="S158" s="98">
        <v>31.051024591653601</v>
      </c>
      <c r="T158" s="67">
        <v>1</v>
      </c>
      <c r="U158" s="80">
        <v>179.26979101938099</v>
      </c>
      <c r="V158" s="78">
        <f t="shared" si="36"/>
        <v>194.46829460052217</v>
      </c>
      <c r="W158" s="79">
        <f t="shared" si="37"/>
        <v>194.46829460052217</v>
      </c>
      <c r="X158" s="17">
        <f t="shared" si="38"/>
        <v>185.45506913081144</v>
      </c>
      <c r="Y158" s="43">
        <f t="shared" ref="Y158:Y221" si="39">LN(X158/X157)</f>
        <v>0.12274854994039269</v>
      </c>
      <c r="Z158" s="16">
        <v>223.66035392345759</v>
      </c>
      <c r="AA158" s="45">
        <f t="shared" si="27"/>
        <v>-0.18985029904296657</v>
      </c>
    </row>
    <row r="159" spans="1:27" x14ac:dyDescent="0.2">
      <c r="A159" s="4">
        <f t="shared" si="34"/>
        <v>44166</v>
      </c>
      <c r="B159" s="26">
        <v>9058.43</v>
      </c>
      <c r="C159" s="27">
        <f t="shared" si="28"/>
        <v>5.4410186359156452</v>
      </c>
      <c r="D159" s="7" t="e">
        <v>#N/A</v>
      </c>
      <c r="E159" s="8" t="e">
        <v>#N/A</v>
      </c>
      <c r="F159" s="100">
        <v>0.79256232366787005</v>
      </c>
      <c r="G159" s="13">
        <v>0</v>
      </c>
      <c r="H159" s="18">
        <v>29.7779971587068</v>
      </c>
      <c r="I159" s="19">
        <f t="shared" si="29"/>
        <v>6.8650987732237319</v>
      </c>
      <c r="J159" s="20">
        <f t="shared" si="30"/>
        <v>29.7779971587068</v>
      </c>
      <c r="K159" s="17">
        <f t="shared" si="32"/>
        <v>27.065806995702125</v>
      </c>
      <c r="L159" s="43">
        <f t="shared" si="31"/>
        <v>-9.5775400177367492E-2</v>
      </c>
      <c r="M159" s="16">
        <v>86.144062093841825</v>
      </c>
      <c r="N159" s="45">
        <f t="shared" si="33"/>
        <v>-0.76768609698705004</v>
      </c>
      <c r="O159" s="51">
        <v>82035.19</v>
      </c>
      <c r="P159" s="27">
        <f t="shared" si="35"/>
        <v>208.39626571827765</v>
      </c>
      <c r="Q159" s="7" t="e">
        <v>#N/A</v>
      </c>
      <c r="R159" s="59" t="e">
        <v>#N/A</v>
      </c>
      <c r="S159" s="98">
        <v>3.6224180362687499</v>
      </c>
      <c r="T159" s="67">
        <v>1</v>
      </c>
      <c r="U159" s="80">
        <v>190.33841826838099</v>
      </c>
      <c r="V159" s="78">
        <f t="shared" si="36"/>
        <v>204.77384768200889</v>
      </c>
      <c r="W159" s="79">
        <f t="shared" si="37"/>
        <v>204.77384768200889</v>
      </c>
      <c r="X159" s="17">
        <f t="shared" si="38"/>
        <v>195.75308456701248</v>
      </c>
      <c r="Y159" s="43">
        <f t="shared" si="39"/>
        <v>5.4041454652172742E-2</v>
      </c>
      <c r="Z159" s="16">
        <v>224.03346453843781</v>
      </c>
      <c r="AA159" s="45">
        <f t="shared" si="27"/>
        <v>-0.11637232260360963</v>
      </c>
    </row>
    <row r="160" spans="1:27" x14ac:dyDescent="0.2">
      <c r="A160" s="4">
        <f t="shared" si="34"/>
        <v>44197</v>
      </c>
      <c r="B160" s="26">
        <v>28073.120000000003</v>
      </c>
      <c r="C160" s="27">
        <f t="shared" si="28"/>
        <v>16.862344698617335</v>
      </c>
      <c r="D160" s="7" t="e">
        <v>#N/A</v>
      </c>
      <c r="E160" s="8" t="e">
        <v>#N/A</v>
      </c>
      <c r="F160" s="100">
        <v>0.68087063032296402</v>
      </c>
      <c r="G160" s="13">
        <v>1</v>
      </c>
      <c r="H160" s="18">
        <v>33.210518708507898</v>
      </c>
      <c r="I160" s="19">
        <f t="shared" si="29"/>
        <v>24.765857047790202</v>
      </c>
      <c r="J160" s="20">
        <f t="shared" si="30"/>
        <v>24.765857047790202</v>
      </c>
      <c r="K160" s="17">
        <f t="shared" si="32"/>
        <v>30.403821713944001</v>
      </c>
      <c r="L160" s="43">
        <f t="shared" si="31"/>
        <v>0.11629711803268114</v>
      </c>
      <c r="M160" s="16">
        <v>85.302338445059533</v>
      </c>
      <c r="N160" s="45">
        <f t="shared" si="33"/>
        <v>-0.73137587277201277</v>
      </c>
      <c r="O160" s="51">
        <v>60992</v>
      </c>
      <c r="P160" s="27">
        <f t="shared" si="35"/>
        <v>154.93966721707099</v>
      </c>
      <c r="Q160" s="7" t="e">
        <v>#N/A</v>
      </c>
      <c r="R160" s="59" t="e">
        <v>#N/A</v>
      </c>
      <c r="S160" s="98">
        <v>-24.056681086438999</v>
      </c>
      <c r="T160" s="67">
        <v>1</v>
      </c>
      <c r="U160" s="80">
        <v>200.89653366646101</v>
      </c>
      <c r="V160" s="78">
        <f t="shared" si="36"/>
        <v>178.99634830350999</v>
      </c>
      <c r="W160" s="79">
        <f t="shared" si="37"/>
        <v>178.99634830350999</v>
      </c>
      <c r="X160" s="17">
        <f t="shared" si="38"/>
        <v>192.21407092693207</v>
      </c>
      <c r="Y160" s="43">
        <f t="shared" si="39"/>
        <v>-1.8244388758620125E-2</v>
      </c>
      <c r="Z160" s="16">
        <v>224.4392006448104</v>
      </c>
      <c r="AA160" s="45">
        <f t="shared" si="27"/>
        <v>-0.11639740651013242</v>
      </c>
    </row>
    <row r="161" spans="1:27" x14ac:dyDescent="0.2">
      <c r="A161" s="4">
        <f t="shared" si="34"/>
        <v>44228</v>
      </c>
      <c r="B161" s="26">
        <v>164411.47000000006</v>
      </c>
      <c r="C161" s="27">
        <f t="shared" si="28"/>
        <v>98.755068177188136</v>
      </c>
      <c r="D161" s="7" t="e">
        <v>#N/A</v>
      </c>
      <c r="E161" s="8" t="e">
        <v>#N/A</v>
      </c>
      <c r="F161" s="100">
        <v>0.84941910316810398</v>
      </c>
      <c r="G161" s="13">
        <v>0</v>
      </c>
      <c r="H161" s="18">
        <v>42.305575601488798</v>
      </c>
      <c r="I161" s="19">
        <f t="shared" si="29"/>
        <v>116.26188745797968</v>
      </c>
      <c r="J161" s="20">
        <f t="shared" si="30"/>
        <v>42.305575601488798</v>
      </c>
      <c r="K161" s="17">
        <f t="shared" si="32"/>
        <v>43.92262177036487</v>
      </c>
      <c r="L161" s="43">
        <f t="shared" si="31"/>
        <v>0.36786117485943864</v>
      </c>
      <c r="M161" s="16">
        <v>84.475950988041319</v>
      </c>
      <c r="N161" s="45">
        <f t="shared" si="33"/>
        <v>-0.62369509622374864</v>
      </c>
      <c r="O161" s="51">
        <v>67133</v>
      </c>
      <c r="P161" s="27">
        <f t="shared" si="35"/>
        <v>170.53981963673314</v>
      </c>
      <c r="Q161" s="7" t="e">
        <v>#N/A</v>
      </c>
      <c r="R161" s="59" t="e">
        <v>#N/A</v>
      </c>
      <c r="S161" s="98">
        <v>-35.549919781966302</v>
      </c>
      <c r="T161" s="67">
        <v>1</v>
      </c>
      <c r="U161" s="80">
        <v>209.263753604838</v>
      </c>
      <c r="V161" s="78">
        <f t="shared" si="36"/>
        <v>206.08973941869945</v>
      </c>
      <c r="W161" s="79">
        <f t="shared" si="37"/>
        <v>206.08973941869945</v>
      </c>
      <c r="X161" s="17">
        <f t="shared" si="38"/>
        <v>205.93471177370301</v>
      </c>
      <c r="Y161" s="43">
        <f t="shared" si="39"/>
        <v>6.8949481744267377E-2</v>
      </c>
      <c r="Z161" s="16">
        <v>224.87723328546201</v>
      </c>
      <c r="AA161" s="45">
        <f t="shared" si="27"/>
        <v>-2.6317191451013633E-2</v>
      </c>
    </row>
    <row r="162" spans="1:27" x14ac:dyDescent="0.2">
      <c r="A162" s="4">
        <f t="shared" si="34"/>
        <v>44256</v>
      </c>
      <c r="B162" s="26">
        <v>126450.01</v>
      </c>
      <c r="C162" s="27">
        <f t="shared" si="28"/>
        <v>75.953212744561654</v>
      </c>
      <c r="D162" s="7" t="e">
        <v>#N/A</v>
      </c>
      <c r="E162" s="8" t="e">
        <v>#N/A</v>
      </c>
      <c r="F162" s="100">
        <v>1.14536613195157</v>
      </c>
      <c r="G162" s="13">
        <v>1</v>
      </c>
      <c r="H162" s="18">
        <v>54.971156842394599</v>
      </c>
      <c r="I162" s="19">
        <f t="shared" si="29"/>
        <v>66.313478830691679</v>
      </c>
      <c r="J162" s="20">
        <f t="shared" si="30"/>
        <v>66.313478830691679</v>
      </c>
      <c r="K162" s="17">
        <f t="shared" si="32"/>
        <v>56.359603831482694</v>
      </c>
      <c r="L162" s="43">
        <f t="shared" si="31"/>
        <v>0.24932316811128827</v>
      </c>
      <c r="M162" s="16">
        <v>83.663767030079072</v>
      </c>
      <c r="N162" s="45">
        <f t="shared" si="33"/>
        <v>-0.4210751353075165</v>
      </c>
      <c r="O162" s="51">
        <v>79917</v>
      </c>
      <c r="P162" s="27">
        <f t="shared" si="35"/>
        <v>203.01536898259874</v>
      </c>
      <c r="Q162" s="7" t="e">
        <v>#N/A</v>
      </c>
      <c r="R162" s="59" t="e">
        <v>#N/A</v>
      </c>
      <c r="S162" s="98">
        <v>-32.749358100891101</v>
      </c>
      <c r="T162" s="67">
        <v>0.84906901388858302</v>
      </c>
      <c r="U162" s="80">
        <v>214.551673276081</v>
      </c>
      <c r="V162" s="78">
        <f t="shared" si="36"/>
        <v>235.76472708348984</v>
      </c>
      <c r="W162" s="79">
        <f t="shared" si="37"/>
        <v>232.56301995390308</v>
      </c>
      <c r="X162" s="17">
        <f t="shared" si="38"/>
        <v>225.41850433337402</v>
      </c>
      <c r="Y162" s="43">
        <f t="shared" si="39"/>
        <v>9.0399508351772059E-2</v>
      </c>
      <c r="Z162" s="16">
        <v>225.3469848525923</v>
      </c>
      <c r="AA162" s="45">
        <f t="shared" si="27"/>
        <v>0.13869902773071363</v>
      </c>
    </row>
    <row r="163" spans="1:27" x14ac:dyDescent="0.2">
      <c r="A163" s="4">
        <f t="shared" si="34"/>
        <v>44287</v>
      </c>
      <c r="B163" s="26">
        <v>84848.989999999976</v>
      </c>
      <c r="C163" s="27">
        <f t="shared" si="28"/>
        <v>50.96522640552724</v>
      </c>
      <c r="D163" s="7" t="e">
        <v>#N/A</v>
      </c>
      <c r="E163" s="8" t="e">
        <v>#N/A</v>
      </c>
      <c r="F163" s="100">
        <v>1.0090948682352501</v>
      </c>
      <c r="G163" s="13">
        <v>1</v>
      </c>
      <c r="H163" s="18">
        <v>68.858310685358603</v>
      </c>
      <c r="I163" s="19">
        <f t="shared" si="29"/>
        <v>50.505882063058642</v>
      </c>
      <c r="J163" s="20">
        <f t="shared" si="30"/>
        <v>50.505882063058642</v>
      </c>
      <c r="K163" s="17">
        <f t="shared" si="32"/>
        <v>65.934165563806474</v>
      </c>
      <c r="L163" s="43">
        <f t="shared" si="31"/>
        <v>0.15690409498726585</v>
      </c>
      <c r="M163" s="16">
        <v>82.864340966972819</v>
      </c>
      <c r="N163" s="45">
        <f t="shared" si="33"/>
        <v>2.8645482810706113E-2</v>
      </c>
      <c r="O163" s="51">
        <v>68795</v>
      </c>
      <c r="P163" s="27">
        <f t="shared" si="35"/>
        <v>174.76184427791185</v>
      </c>
      <c r="Q163" s="7" t="e">
        <v>#N/A</v>
      </c>
      <c r="R163" s="59" t="e">
        <v>#N/A</v>
      </c>
      <c r="S163" s="98">
        <v>-55.696393729078601</v>
      </c>
      <c r="T163" s="67">
        <v>1</v>
      </c>
      <c r="U163" s="80">
        <v>217.023338583129</v>
      </c>
      <c r="V163" s="78">
        <f t="shared" si="36"/>
        <v>230.45823800699046</v>
      </c>
      <c r="W163" s="79">
        <f t="shared" si="37"/>
        <v>230.45823800699046</v>
      </c>
      <c r="X163" s="17">
        <f t="shared" si="38"/>
        <v>222.95102932701474</v>
      </c>
      <c r="Y163" s="43">
        <f t="shared" si="39"/>
        <v>-1.1006545855862101E-2</v>
      </c>
      <c r="Z163" s="16">
        <v>225.84773157696591</v>
      </c>
      <c r="AA163" s="45">
        <f t="shared" si="27"/>
        <v>0.23246181452491976</v>
      </c>
    </row>
    <row r="164" spans="1:27" x14ac:dyDescent="0.2">
      <c r="A164" s="4">
        <f t="shared" si="34"/>
        <v>44317</v>
      </c>
      <c r="B164" s="26">
        <v>188078.56</v>
      </c>
      <c r="C164" s="27">
        <f t="shared" si="28"/>
        <v>112.97089561614749</v>
      </c>
      <c r="D164" s="7" t="e">
        <v>#N/A</v>
      </c>
      <c r="E164" s="8" t="e">
        <v>#N/A</v>
      </c>
      <c r="F164" s="100">
        <v>1.1717584539075701</v>
      </c>
      <c r="G164" s="13">
        <v>1</v>
      </c>
      <c r="H164" s="18">
        <v>81.189844674993495</v>
      </c>
      <c r="I164" s="19">
        <f t="shared" si="29"/>
        <v>96.411419298416931</v>
      </c>
      <c r="J164" s="20">
        <f t="shared" si="30"/>
        <v>96.411419298416931</v>
      </c>
      <c r="K164" s="17">
        <f t="shared" si="32"/>
        <v>82.39040954022505</v>
      </c>
      <c r="L164" s="43">
        <f t="shared" si="31"/>
        <v>0.22281228832348807</v>
      </c>
      <c r="M164" s="16">
        <v>82.076016514253539</v>
      </c>
      <c r="N164" s="45">
        <f t="shared" si="33"/>
        <v>0.60851339049505015</v>
      </c>
      <c r="O164" s="51">
        <v>60027</v>
      </c>
      <c r="P164" s="27">
        <f t="shared" si="35"/>
        <v>152.48825098437698</v>
      </c>
      <c r="Q164" s="7" t="e">
        <v>#N/A</v>
      </c>
      <c r="R164" s="59" t="e">
        <v>#N/A</v>
      </c>
      <c r="S164" s="98">
        <v>-35.732716401449302</v>
      </c>
      <c r="T164" s="67">
        <v>0.66005306807591102</v>
      </c>
      <c r="U164" s="80">
        <v>217.942235635439</v>
      </c>
      <c r="V164" s="78">
        <f t="shared" si="36"/>
        <v>188.22096738582627</v>
      </c>
      <c r="W164" s="79">
        <f t="shared" si="37"/>
        <v>198.32462134017496</v>
      </c>
      <c r="X164" s="17">
        <f t="shared" si="38"/>
        <v>211.51550038404784</v>
      </c>
      <c r="Y164" s="43">
        <f t="shared" si="39"/>
        <v>-5.2653864245459564E-2</v>
      </c>
      <c r="Z164" s="16">
        <v>226.37875024119381</v>
      </c>
      <c r="AA164" s="45">
        <f t="shared" si="27"/>
        <v>0.26140875781422368</v>
      </c>
    </row>
    <row r="165" spans="1:27" x14ac:dyDescent="0.2">
      <c r="A165" s="4">
        <f t="shared" si="34"/>
        <v>44348</v>
      </c>
      <c r="B165" s="26">
        <v>170383.05000000002</v>
      </c>
      <c r="C165" s="27">
        <f t="shared" si="28"/>
        <v>102.34194560140635</v>
      </c>
      <c r="D165" s="7" t="e">
        <v>#N/A</v>
      </c>
      <c r="E165" s="8" t="e">
        <v>#N/A</v>
      </c>
      <c r="F165" s="100">
        <v>1.1868083391729201</v>
      </c>
      <c r="G165" s="13">
        <v>1</v>
      </c>
      <c r="H165" s="18">
        <v>89.940084632717898</v>
      </c>
      <c r="I165" s="19">
        <f t="shared" si="29"/>
        <v>86.232917501007677</v>
      </c>
      <c r="J165" s="20">
        <f t="shared" si="30"/>
        <v>86.232917501007677</v>
      </c>
      <c r="K165" s="17">
        <f t="shared" si="32"/>
        <v>92.582202418219666</v>
      </c>
      <c r="L165" s="43">
        <f t="shared" si="31"/>
        <v>0.11662788360553328</v>
      </c>
      <c r="M165" s="16">
        <v>81.297006753380103</v>
      </c>
      <c r="N165" s="45">
        <f t="shared" si="33"/>
        <v>0.47917083324058884</v>
      </c>
      <c r="O165" s="51">
        <v>74127</v>
      </c>
      <c r="P165" s="27">
        <f t="shared" si="35"/>
        <v>188.30687158643465</v>
      </c>
      <c r="Q165" s="7" t="e">
        <v>#N/A</v>
      </c>
      <c r="R165" s="59" t="e">
        <v>#N/A</v>
      </c>
      <c r="S165" s="98">
        <v>13.2403295782378</v>
      </c>
      <c r="T165" s="67">
        <v>0</v>
      </c>
      <c r="U165" s="80">
        <v>218.95452084885099</v>
      </c>
      <c r="V165" s="78">
        <f t="shared" si="36"/>
        <v>175.06654200819685</v>
      </c>
      <c r="W165" s="79">
        <f t="shared" si="37"/>
        <v>218.95452084885099</v>
      </c>
      <c r="X165" s="17">
        <f t="shared" si="38"/>
        <v>214.6676697395676</v>
      </c>
      <c r="Y165" s="43">
        <f t="shared" si="39"/>
        <v>1.4792826456429417E-2</v>
      </c>
      <c r="Z165" s="16">
        <v>226.93929527679279</v>
      </c>
      <c r="AA165" s="45">
        <f t="shared" si="27"/>
        <v>0.34100200766776667</v>
      </c>
    </row>
    <row r="166" spans="1:27" x14ac:dyDescent="0.2">
      <c r="A166" s="4">
        <f t="shared" si="34"/>
        <v>44378</v>
      </c>
      <c r="B166" s="26">
        <v>218220.08000000002</v>
      </c>
      <c r="C166" s="27">
        <f t="shared" si="28"/>
        <v>131.0756413651155</v>
      </c>
      <c r="D166" s="7" t="e">
        <v>#N/A</v>
      </c>
      <c r="E166" s="8" t="e">
        <v>#N/A</v>
      </c>
      <c r="F166" s="100">
        <v>1.2920022850700901</v>
      </c>
      <c r="G166" s="13">
        <v>1</v>
      </c>
      <c r="H166" s="18">
        <v>93.543831145030893</v>
      </c>
      <c r="I166" s="19">
        <f t="shared" si="29"/>
        <v>101.45155537244638</v>
      </c>
      <c r="J166" s="20">
        <f t="shared" si="30"/>
        <v>101.45155537244638</v>
      </c>
      <c r="K166" s="17">
        <f t="shared" si="32"/>
        <v>97.311072829731728</v>
      </c>
      <c r="L166" s="43">
        <f t="shared" si="31"/>
        <v>4.9815858967056231E-2</v>
      </c>
      <c r="M166" s="16">
        <v>80.525527191684645</v>
      </c>
      <c r="N166" s="45">
        <f t="shared" si="33"/>
        <v>0.36330924288905364</v>
      </c>
      <c r="O166" s="51">
        <v>98488</v>
      </c>
      <c r="P166" s="27">
        <f t="shared" si="35"/>
        <v>250.19179474152165</v>
      </c>
      <c r="Q166" s="7" t="e">
        <v>#N/A</v>
      </c>
      <c r="R166" s="59" t="e">
        <v>#N/A</v>
      </c>
      <c r="S166" s="98">
        <v>27.754778821128099</v>
      </c>
      <c r="T166" s="67">
        <v>1</v>
      </c>
      <c r="U166" s="80">
        <v>220.019835847167</v>
      </c>
      <c r="V166" s="78">
        <f t="shared" si="36"/>
        <v>222.43701592039355</v>
      </c>
      <c r="W166" s="79">
        <f t="shared" si="37"/>
        <v>222.43701592039355</v>
      </c>
      <c r="X166" s="17">
        <f t="shared" si="38"/>
        <v>220.62369413308789</v>
      </c>
      <c r="Y166" s="43">
        <f t="shared" si="39"/>
        <v>2.7367398601357326E-2</v>
      </c>
      <c r="Z166" s="16">
        <v>227.52850642970799</v>
      </c>
      <c r="AA166" s="45">
        <f t="shared" si="27"/>
        <v>0.40510906195199436</v>
      </c>
    </row>
    <row r="167" spans="1:27" x14ac:dyDescent="0.2">
      <c r="A167" s="4">
        <f t="shared" si="34"/>
        <v>44409</v>
      </c>
      <c r="B167" s="26">
        <v>182509.21000000008</v>
      </c>
      <c r="C167" s="27">
        <f t="shared" si="28"/>
        <v>109.62562086766056</v>
      </c>
      <c r="D167" s="7" t="e">
        <v>#N/A</v>
      </c>
      <c r="E167" s="8" t="e">
        <v>#N/A</v>
      </c>
      <c r="F167" s="100">
        <v>1.09507065153744</v>
      </c>
      <c r="G167" s="13">
        <v>1</v>
      </c>
      <c r="H167" s="18">
        <v>94.158678708266294</v>
      </c>
      <c r="I167" s="19">
        <f t="shared" si="29"/>
        <v>100.10826307302649</v>
      </c>
      <c r="J167" s="20">
        <f t="shared" si="30"/>
        <v>100.10826307302649</v>
      </c>
      <c r="K167" s="17">
        <f t="shared" si="32"/>
        <v>98.855669577591257</v>
      </c>
      <c r="L167" s="43">
        <f t="shared" si="31"/>
        <v>1.5748119695109405E-2</v>
      </c>
      <c r="M167" s="16">
        <v>79.759880413626476</v>
      </c>
      <c r="N167" s="45">
        <f t="shared" si="33"/>
        <v>0.53273372979762579</v>
      </c>
      <c r="O167" s="51">
        <v>102056</v>
      </c>
      <c r="P167" s="27">
        <f t="shared" si="35"/>
        <v>259.25568398323384</v>
      </c>
      <c r="Q167" s="7" t="e">
        <v>#N/A</v>
      </c>
      <c r="R167" s="59" t="e">
        <v>#N/A</v>
      </c>
      <c r="S167" s="98">
        <v>40.589460140520302</v>
      </c>
      <c r="T167" s="67">
        <v>1</v>
      </c>
      <c r="U167" s="80">
        <v>221.58461996000699</v>
      </c>
      <c r="V167" s="78">
        <f t="shared" si="36"/>
        <v>218.66622384271352</v>
      </c>
      <c r="W167" s="79">
        <f t="shared" si="37"/>
        <v>218.66622384271352</v>
      </c>
      <c r="X167" s="17">
        <f t="shared" si="38"/>
        <v>222.1588592011849</v>
      </c>
      <c r="Y167" s="43">
        <f t="shared" si="39"/>
        <v>6.9341992263494993E-3</v>
      </c>
      <c r="Z167" s="16">
        <v>228.14542875741381</v>
      </c>
      <c r="AA167" s="45">
        <f t="shared" si="27"/>
        <v>0.39106259615463346</v>
      </c>
    </row>
    <row r="168" spans="1:27" x14ac:dyDescent="0.2">
      <c r="A168" s="4">
        <f t="shared" si="34"/>
        <v>44440</v>
      </c>
      <c r="B168" s="26">
        <v>170614</v>
      </c>
      <c r="C168" s="27">
        <f t="shared" si="28"/>
        <v>102.48066757132437</v>
      </c>
      <c r="D168" s="7" t="e">
        <v>#N/A</v>
      </c>
      <c r="E168" s="8" t="e">
        <v>#N/A</v>
      </c>
      <c r="F168" s="100">
        <v>1.0930735246915999</v>
      </c>
      <c r="G168" s="13">
        <v>1</v>
      </c>
      <c r="H168" s="18">
        <v>95.934892562469102</v>
      </c>
      <c r="I168" s="19">
        <f t="shared" si="29"/>
        <v>93.754596791865666</v>
      </c>
      <c r="J168" s="20">
        <f t="shared" si="30"/>
        <v>93.754596791865666</v>
      </c>
      <c r="K168" s="17">
        <f t="shared" si="32"/>
        <v>94.04944315799959</v>
      </c>
      <c r="L168" s="43">
        <f t="shared" si="31"/>
        <v>-4.9840268306699013E-2</v>
      </c>
      <c r="M168" s="16">
        <v>78.998498521764191</v>
      </c>
      <c r="N168" s="45">
        <f t="shared" si="33"/>
        <v>0.73165712400202709</v>
      </c>
      <c r="O168" s="51">
        <v>106134</v>
      </c>
      <c r="P168" s="27">
        <f t="shared" si="35"/>
        <v>269.61514035310552</v>
      </c>
      <c r="Q168" s="7" t="e">
        <v>#N/A</v>
      </c>
      <c r="R168" s="59" t="e">
        <v>#N/A</v>
      </c>
      <c r="S168" s="98">
        <v>40.749167154186601</v>
      </c>
      <c r="T168" s="67">
        <v>1</v>
      </c>
      <c r="U168" s="80">
        <v>224.30350824650401</v>
      </c>
      <c r="V168" s="78">
        <f t="shared" si="36"/>
        <v>228.86597319891891</v>
      </c>
      <c r="W168" s="79">
        <f t="shared" si="37"/>
        <v>228.86597319891891</v>
      </c>
      <c r="X168" s="17">
        <f t="shared" si="38"/>
        <v>225.82298679590309</v>
      </c>
      <c r="Y168" s="43">
        <f t="shared" si="39"/>
        <v>1.6358740157437431E-2</v>
      </c>
      <c r="Z168" s="16">
        <v>228.78905403951711</v>
      </c>
      <c r="AA168" s="45">
        <f t="shared" ref="AA168:AA231" si="40">(X168/X156)-1</f>
        <v>0.41477587719841691</v>
      </c>
    </row>
    <row r="169" spans="1:27" x14ac:dyDescent="0.2">
      <c r="A169" s="4">
        <f t="shared" si="34"/>
        <v>44470</v>
      </c>
      <c r="B169" s="26">
        <v>147626</v>
      </c>
      <c r="C169" s="27">
        <f t="shared" si="28"/>
        <v>88.672740987752078</v>
      </c>
      <c r="D169" s="7" t="e">
        <v>#N/A</v>
      </c>
      <c r="E169" s="8" t="e">
        <v>#N/A</v>
      </c>
      <c r="F169" s="100">
        <v>1.0010434035089399</v>
      </c>
      <c r="G169" s="13">
        <v>1</v>
      </c>
      <c r="H169" s="18">
        <v>100.192508433859</v>
      </c>
      <c r="I169" s="19">
        <f t="shared" si="29"/>
        <v>88.580315975240509</v>
      </c>
      <c r="J169" s="20">
        <f t="shared" si="30"/>
        <v>88.580315975240509</v>
      </c>
      <c r="K169" s="17">
        <f t="shared" si="32"/>
        <v>90.25847586217003</v>
      </c>
      <c r="L169" s="43">
        <f t="shared" si="31"/>
        <v>-4.1143126854230147E-2</v>
      </c>
      <c r="M169" s="16">
        <v>78.239960962707727</v>
      </c>
      <c r="N169" s="45">
        <f t="shared" si="33"/>
        <v>1.1945345876975773</v>
      </c>
      <c r="O169" s="51">
        <v>101150</v>
      </c>
      <c r="P169" s="27">
        <f t="shared" si="35"/>
        <v>256.95414708497395</v>
      </c>
      <c r="Q169" s="7" t="e">
        <v>#N/A</v>
      </c>
      <c r="R169" s="59" t="e">
        <v>#N/A</v>
      </c>
      <c r="S169" s="98">
        <v>30.060370141912799</v>
      </c>
      <c r="T169" s="67">
        <v>1</v>
      </c>
      <c r="U169" s="80">
        <v>226.17325834897699</v>
      </c>
      <c r="V169" s="78">
        <f t="shared" si="36"/>
        <v>226.89377694306114</v>
      </c>
      <c r="W169" s="79">
        <f t="shared" si="37"/>
        <v>226.89377694306114</v>
      </c>
      <c r="X169" s="17">
        <f t="shared" si="38"/>
        <v>228.05463861073244</v>
      </c>
      <c r="Y169" s="43">
        <f t="shared" si="39"/>
        <v>9.8337951638446802E-3</v>
      </c>
      <c r="Z169" s="16">
        <v>229.45832786295421</v>
      </c>
      <c r="AA169" s="45">
        <f t="shared" si="40"/>
        <v>0.3903022303776631</v>
      </c>
    </row>
    <row r="170" spans="1:27" x14ac:dyDescent="0.2">
      <c r="A170" s="4">
        <f t="shared" si="34"/>
        <v>44501</v>
      </c>
      <c r="B170" s="26">
        <v>99923</v>
      </c>
      <c r="C170" s="27">
        <f t="shared" si="28"/>
        <v>60.019551418579049</v>
      </c>
      <c r="D170" s="7" t="e">
        <v>#N/A</v>
      </c>
      <c r="E170" s="8" t="e">
        <v>#N/A</v>
      </c>
      <c r="F170" s="100">
        <v>0.66600570430227302</v>
      </c>
      <c r="G170" s="13">
        <v>1</v>
      </c>
      <c r="H170" s="18">
        <v>107.127428851258</v>
      </c>
      <c r="I170" s="19">
        <f t="shared" si="29"/>
        <v>90.118674706333451</v>
      </c>
      <c r="J170" s="20">
        <f t="shared" si="30"/>
        <v>90.118674706333451</v>
      </c>
      <c r="K170" s="17">
        <f t="shared" si="32"/>
        <v>94.202855266335931</v>
      </c>
      <c r="L170" s="43">
        <f t="shared" si="31"/>
        <v>4.2772983632406593E-2</v>
      </c>
      <c r="M170" s="16">
        <v>77.482963316899799</v>
      </c>
      <c r="N170" s="45">
        <f t="shared" si="33"/>
        <v>2.1626297942640389</v>
      </c>
      <c r="O170" s="51">
        <v>101838</v>
      </c>
      <c r="P170" s="27">
        <f t="shared" si="35"/>
        <v>258.70189254413816</v>
      </c>
      <c r="Q170" s="7" t="e">
        <v>#N/A</v>
      </c>
      <c r="R170" s="59" t="e">
        <v>#N/A</v>
      </c>
      <c r="S170" s="98">
        <v>29.136865186249601</v>
      </c>
      <c r="T170" s="67">
        <v>1</v>
      </c>
      <c r="U170" s="80">
        <v>225.452853260853</v>
      </c>
      <c r="V170" s="78">
        <f t="shared" si="36"/>
        <v>229.56502735788857</v>
      </c>
      <c r="W170" s="79">
        <f t="shared" si="37"/>
        <v>229.56502735788857</v>
      </c>
      <c r="X170" s="17">
        <f t="shared" si="38"/>
        <v>226.33481771370694</v>
      </c>
      <c r="Y170" s="43">
        <f t="shared" si="39"/>
        <v>-7.5698460234632217E-3</v>
      </c>
      <c r="Z170" s="16">
        <v>230.15217292834089</v>
      </c>
      <c r="AA170" s="45">
        <f t="shared" si="40"/>
        <v>0.22042939443224818</v>
      </c>
    </row>
    <row r="171" spans="1:27" x14ac:dyDescent="0.2">
      <c r="A171" s="4">
        <f t="shared" si="34"/>
        <v>44531</v>
      </c>
      <c r="B171" s="26">
        <v>142528</v>
      </c>
      <c r="C171" s="27">
        <f t="shared" si="28"/>
        <v>85.61058639739835</v>
      </c>
      <c r="D171" s="7" t="e">
        <v>#N/A</v>
      </c>
      <c r="E171" s="8" t="e">
        <v>#N/A</v>
      </c>
      <c r="F171" s="100">
        <v>0.792736449069392</v>
      </c>
      <c r="G171" s="13">
        <v>1</v>
      </c>
      <c r="H171" s="18">
        <v>114.97045047783099</v>
      </c>
      <c r="I171" s="19">
        <f t="shared" si="29"/>
        <v>107.99375567743631</v>
      </c>
      <c r="J171" s="20">
        <f t="shared" si="30"/>
        <v>107.99375567743631</v>
      </c>
      <c r="K171" s="17">
        <f t="shared" si="32"/>
        <v>117.14317256055142</v>
      </c>
      <c r="L171" s="43">
        <f t="shared" si="31"/>
        <v>0.21794639198350393</v>
      </c>
      <c r="M171" s="16">
        <v>76.726293900237152</v>
      </c>
      <c r="N171" s="45">
        <f t="shared" si="33"/>
        <v>3.3280871905704865</v>
      </c>
      <c r="O171" s="51">
        <v>87400</v>
      </c>
      <c r="P171" s="27">
        <f t="shared" si="35"/>
        <v>222.02464117871205</v>
      </c>
      <c r="Q171" s="7" t="e">
        <v>#N/A</v>
      </c>
      <c r="R171" s="59" t="e">
        <v>#N/A</v>
      </c>
      <c r="S171" s="98">
        <v>2.7092019827225702</v>
      </c>
      <c r="T171" s="67">
        <v>1</v>
      </c>
      <c r="U171" s="80">
        <v>222.85711708580399</v>
      </c>
      <c r="V171" s="78">
        <f t="shared" si="36"/>
        <v>219.31543919598948</v>
      </c>
      <c r="W171" s="79">
        <f t="shared" si="37"/>
        <v>219.31543919598948</v>
      </c>
      <c r="X171" s="17">
        <f t="shared" si="38"/>
        <v>222.50491912513979</v>
      </c>
      <c r="Y171" s="43">
        <f t="shared" si="39"/>
        <v>-1.7066187461199797E-2</v>
      </c>
      <c r="Z171" s="16">
        <v>230.86950110535881</v>
      </c>
      <c r="AA171" s="45">
        <f t="shared" si="40"/>
        <v>0.13666111375613754</v>
      </c>
    </row>
    <row r="172" spans="1:27" x14ac:dyDescent="0.2">
      <c r="A172" s="4">
        <f t="shared" si="34"/>
        <v>44562</v>
      </c>
      <c r="B172" s="26">
        <v>189216.78999999998</v>
      </c>
      <c r="C172" s="27">
        <f t="shared" si="28"/>
        <v>113.65458259523307</v>
      </c>
      <c r="D172" s="7" t="e">
        <v>#N/A</v>
      </c>
      <c r="E172" s="8" t="e">
        <v>#N/A</v>
      </c>
      <c r="F172" s="100">
        <v>0.69955701434071305</v>
      </c>
      <c r="G172" s="13">
        <v>1</v>
      </c>
      <c r="H172" s="18">
        <v>120.75505438373</v>
      </c>
      <c r="I172" s="19">
        <f t="shared" si="29"/>
        <v>162.46650418099961</v>
      </c>
      <c r="J172" s="20">
        <f t="shared" si="30"/>
        <v>162.46650418099961</v>
      </c>
      <c r="K172" s="17">
        <f t="shared" si="32"/>
        <v>139.84315276091644</v>
      </c>
      <c r="L172" s="43">
        <f t="shared" si="31"/>
        <v>0.17712457335074877</v>
      </c>
      <c r="M172" s="16">
        <v>75.968870040128735</v>
      </c>
      <c r="N172" s="45">
        <f t="shared" si="33"/>
        <v>3.5995254832316244</v>
      </c>
      <c r="O172" s="51">
        <v>79107.200000000012</v>
      </c>
      <c r="P172" s="27">
        <f t="shared" si="35"/>
        <v>200.95821160929762</v>
      </c>
      <c r="Q172" s="7" t="e">
        <v>#N/A</v>
      </c>
      <c r="R172" s="59" t="e">
        <v>#N/A</v>
      </c>
      <c r="S172" s="98">
        <v>-20.865559141394101</v>
      </c>
      <c r="T172" s="67">
        <v>1</v>
      </c>
      <c r="U172" s="80">
        <v>221.13810220927999</v>
      </c>
      <c r="V172" s="78">
        <f t="shared" si="36"/>
        <v>221.82377075069172</v>
      </c>
      <c r="W172" s="79">
        <f t="shared" si="37"/>
        <v>221.82377075069172</v>
      </c>
      <c r="X172" s="17">
        <f t="shared" si="38"/>
        <v>223.07551150229281</v>
      </c>
      <c r="Y172" s="43">
        <f t="shared" si="39"/>
        <v>2.5611209551640829E-3</v>
      </c>
      <c r="Z172" s="16">
        <v>231.60919480878829</v>
      </c>
      <c r="AA172" s="45">
        <f t="shared" si="40"/>
        <v>0.16055765546473633</v>
      </c>
    </row>
    <row r="173" spans="1:27" x14ac:dyDescent="0.2">
      <c r="A173" s="4">
        <f t="shared" si="34"/>
        <v>44593</v>
      </c>
      <c r="B173" s="26">
        <v>177386.34999999998</v>
      </c>
      <c r="C173" s="27">
        <f t="shared" si="28"/>
        <v>106.54853391890815</v>
      </c>
      <c r="D173" s="7" t="e">
        <v>#N/A</v>
      </c>
      <c r="E173" s="8" t="e">
        <v>#N/A</v>
      </c>
      <c r="F173" s="100">
        <v>0.84264162440498003</v>
      </c>
      <c r="G173" s="13">
        <v>1</v>
      </c>
      <c r="H173" s="18">
        <v>122.04760464762801</v>
      </c>
      <c r="I173" s="19">
        <f t="shared" si="29"/>
        <v>126.44584700423025</v>
      </c>
      <c r="J173" s="20">
        <f t="shared" si="30"/>
        <v>126.44584700423025</v>
      </c>
      <c r="K173" s="17">
        <f t="shared" si="32"/>
        <v>126.4513445297776</v>
      </c>
      <c r="L173" s="43">
        <f t="shared" si="31"/>
        <v>-0.10066385118411708</v>
      </c>
      <c r="M173" s="16">
        <v>75.209920922614998</v>
      </c>
      <c r="N173" s="45">
        <f t="shared" si="33"/>
        <v>1.8789571166968879</v>
      </c>
      <c r="O173" s="51">
        <v>75255.38</v>
      </c>
      <c r="P173" s="27">
        <f t="shared" si="35"/>
        <v>191.17332655912614</v>
      </c>
      <c r="Q173" s="7" t="e">
        <v>#N/A</v>
      </c>
      <c r="R173" s="59" t="e">
        <v>#N/A</v>
      </c>
      <c r="S173" s="98">
        <v>-38.165738752672198</v>
      </c>
      <c r="T173" s="67">
        <v>1</v>
      </c>
      <c r="U173" s="80">
        <v>221.94623912236801</v>
      </c>
      <c r="V173" s="78">
        <f t="shared" si="36"/>
        <v>229.33906531179832</v>
      </c>
      <c r="W173" s="79">
        <f t="shared" si="37"/>
        <v>229.33906531179832</v>
      </c>
      <c r="X173" s="17">
        <f t="shared" si="38"/>
        <v>222.38660270699711</v>
      </c>
      <c r="Y173" s="43">
        <f t="shared" si="39"/>
        <v>-3.0930098095292772E-3</v>
      </c>
      <c r="Z173" s="16">
        <v>232.37007191188189</v>
      </c>
      <c r="AA173" s="45">
        <f t="shared" si="40"/>
        <v>7.9888867649338779E-2</v>
      </c>
    </row>
    <row r="174" spans="1:27" x14ac:dyDescent="0.2">
      <c r="A174" s="4">
        <f t="shared" si="34"/>
        <v>44621</v>
      </c>
      <c r="B174" s="26">
        <v>173267.24</v>
      </c>
      <c r="C174" s="27">
        <f t="shared" si="28"/>
        <v>104.07435745859588</v>
      </c>
      <c r="D174" s="7" t="e">
        <v>#N/A</v>
      </c>
      <c r="E174" s="8" t="e">
        <v>#N/A</v>
      </c>
      <c r="F174" s="100">
        <v>1.15066448218225</v>
      </c>
      <c r="G174" s="13">
        <v>1</v>
      </c>
      <c r="H174" s="18">
        <v>116.949484727534</v>
      </c>
      <c r="I174" s="19">
        <f t="shared" si="29"/>
        <v>90.447179929650318</v>
      </c>
      <c r="J174" s="20">
        <f t="shared" si="30"/>
        <v>90.447179929650318</v>
      </c>
      <c r="K174" s="17">
        <f t="shared" si="32"/>
        <v>105.88456368323114</v>
      </c>
      <c r="L174" s="43">
        <f t="shared" si="31"/>
        <v>-0.17750812711547712</v>
      </c>
      <c r="M174" s="16">
        <v>74.449168590856402</v>
      </c>
      <c r="N174" s="45">
        <f t="shared" si="33"/>
        <v>0.87873151131136251</v>
      </c>
      <c r="O174" s="51">
        <v>67347.02</v>
      </c>
      <c r="P174" s="27">
        <f t="shared" si="35"/>
        <v>171.08350057157375</v>
      </c>
      <c r="Q174" s="7" t="e">
        <v>#N/A</v>
      </c>
      <c r="R174" s="59" t="e">
        <v>#N/A</v>
      </c>
      <c r="S174" s="98">
        <v>-37.9610088821264</v>
      </c>
      <c r="T174" s="67">
        <v>1</v>
      </c>
      <c r="U174" s="80">
        <v>226.16068769654001</v>
      </c>
      <c r="V174" s="78">
        <f t="shared" si="36"/>
        <v>209.04450945370016</v>
      </c>
      <c r="W174" s="79">
        <f t="shared" si="37"/>
        <v>209.04450945370016</v>
      </c>
      <c r="X174" s="17">
        <f t="shared" si="38"/>
        <v>218.78377161109535</v>
      </c>
      <c r="Y174" s="43">
        <f t="shared" si="39"/>
        <v>-1.6333423105610079E-2</v>
      </c>
      <c r="Z174" s="16">
        <v>233.15088444156709</v>
      </c>
      <c r="AA174" s="45">
        <f t="shared" si="40"/>
        <v>-2.9432955124511384E-2</v>
      </c>
    </row>
    <row r="175" spans="1:27" x14ac:dyDescent="0.2">
      <c r="A175" s="4">
        <f t="shared" si="34"/>
        <v>44652</v>
      </c>
      <c r="B175" s="26">
        <v>201273.25</v>
      </c>
      <c r="C175" s="27">
        <f t="shared" si="28"/>
        <v>120.89639199743318</v>
      </c>
      <c r="D175" s="7" t="e">
        <v>#N/A</v>
      </c>
      <c r="E175" s="8" t="e">
        <v>#N/A</v>
      </c>
      <c r="F175" s="100">
        <v>1.04043393339379</v>
      </c>
      <c r="G175" s="13">
        <v>1</v>
      </c>
      <c r="H175" s="18">
        <v>105.22597779567199</v>
      </c>
      <c r="I175" s="19">
        <f t="shared" si="29"/>
        <v>116.1980478693937</v>
      </c>
      <c r="J175" s="20">
        <f t="shared" si="30"/>
        <v>116.1980478693937</v>
      </c>
      <c r="K175" s="17">
        <f t="shared" si="32"/>
        <v>103.01712838428591</v>
      </c>
      <c r="L175" s="43">
        <f t="shared" si="31"/>
        <v>-2.7454209443364946E-2</v>
      </c>
      <c r="M175" s="16">
        <v>73.686730469367987</v>
      </c>
      <c r="N175" s="45">
        <f t="shared" si="33"/>
        <v>0.56242408625909035</v>
      </c>
      <c r="O175" s="51">
        <v>67557.930000000008</v>
      </c>
      <c r="P175" s="27">
        <f t="shared" si="35"/>
        <v>171.61928108726028</v>
      </c>
      <c r="Q175" s="7" t="e">
        <v>#N/A</v>
      </c>
      <c r="R175" s="59" t="e">
        <v>#N/A</v>
      </c>
      <c r="S175" s="98">
        <v>-56.0877211379225</v>
      </c>
      <c r="T175" s="67">
        <v>1</v>
      </c>
      <c r="U175" s="80">
        <v>233.26248991513401</v>
      </c>
      <c r="V175" s="78">
        <f t="shared" si="36"/>
        <v>227.70700222518278</v>
      </c>
      <c r="W175" s="79">
        <f t="shared" si="37"/>
        <v>227.70700222518278</v>
      </c>
      <c r="X175" s="17">
        <f t="shared" si="38"/>
        <v>228.46094418225164</v>
      </c>
      <c r="Y175" s="43">
        <f t="shared" si="39"/>
        <v>4.3281375279831162E-2</v>
      </c>
      <c r="Z175" s="16">
        <v>233.95030739183471</v>
      </c>
      <c r="AA175" s="45">
        <f t="shared" si="40"/>
        <v>2.4713565449187458E-2</v>
      </c>
    </row>
    <row r="176" spans="1:27" x14ac:dyDescent="0.2">
      <c r="A176" s="4">
        <f t="shared" si="34"/>
        <v>44682</v>
      </c>
      <c r="B176" s="26">
        <v>169575.48</v>
      </c>
      <c r="C176" s="27">
        <f t="shared" si="28"/>
        <v>101.85687220349894</v>
      </c>
      <c r="D176" s="7" t="e">
        <v>#N/A</v>
      </c>
      <c r="E176" s="8" t="e">
        <v>#N/A</v>
      </c>
      <c r="F176" s="100">
        <v>1.14157019512103</v>
      </c>
      <c r="G176" s="13">
        <v>1</v>
      </c>
      <c r="H176" s="18">
        <v>90.896991034274095</v>
      </c>
      <c r="I176" s="19">
        <f t="shared" si="29"/>
        <v>89.225237868705932</v>
      </c>
      <c r="J176" s="20">
        <f t="shared" si="30"/>
        <v>89.225237868705932</v>
      </c>
      <c r="K176" s="17">
        <f t="shared" si="32"/>
        <v>97.695247058119108</v>
      </c>
      <c r="L176" s="43">
        <f t="shared" si="31"/>
        <v>-5.3042359862262918E-2</v>
      </c>
      <c r="M176" s="16">
        <v>72.922966539726104</v>
      </c>
      <c r="N176" s="45">
        <f t="shared" si="33"/>
        <v>0.18575993981947447</v>
      </c>
      <c r="O176" s="51">
        <v>84229.78</v>
      </c>
      <c r="P176" s="27">
        <f t="shared" si="35"/>
        <v>213.97124349041025</v>
      </c>
      <c r="Q176" s="7" t="e">
        <v>#N/A</v>
      </c>
      <c r="R176" s="59" t="e">
        <v>#N/A</v>
      </c>
      <c r="S176" s="98">
        <v>-35.4140193345306</v>
      </c>
      <c r="T176" s="67">
        <v>1</v>
      </c>
      <c r="U176" s="80">
        <v>242.506510569113</v>
      </c>
      <c r="V176" s="78">
        <f t="shared" si="36"/>
        <v>249.38526282494084</v>
      </c>
      <c r="W176" s="79">
        <f t="shared" si="37"/>
        <v>249.38526282494084</v>
      </c>
      <c r="X176" s="17">
        <f t="shared" si="38"/>
        <v>247.43330092984556</v>
      </c>
      <c r="Y176" s="43">
        <f t="shared" si="39"/>
        <v>7.9775781387567246E-2</v>
      </c>
      <c r="Z176" s="16">
        <v>234.76690489932071</v>
      </c>
      <c r="AA176" s="45">
        <f t="shared" si="40"/>
        <v>0.16981167092048532</v>
      </c>
    </row>
    <row r="177" spans="1:27" x14ac:dyDescent="0.2">
      <c r="A177" s="4">
        <f t="shared" si="34"/>
        <v>44713</v>
      </c>
      <c r="B177" s="26">
        <v>186721.60999999993</v>
      </c>
      <c r="C177" s="27">
        <f t="shared" si="28"/>
        <v>112.15583271473895</v>
      </c>
      <c r="D177" s="7" t="e">
        <v>#N/A</v>
      </c>
      <c r="E177" s="8" t="e">
        <v>#N/A</v>
      </c>
      <c r="F177" s="100">
        <v>1.16668009242727</v>
      </c>
      <c r="G177" s="13">
        <v>1</v>
      </c>
      <c r="H177" s="18">
        <v>79.740374982992194</v>
      </c>
      <c r="I177" s="19">
        <f t="shared" si="29"/>
        <v>96.132464625670863</v>
      </c>
      <c r="J177" s="20">
        <f t="shared" si="30"/>
        <v>96.132464625670863</v>
      </c>
      <c r="K177" s="17">
        <f t="shared" si="32"/>
        <v>84.364769069839099</v>
      </c>
      <c r="L177" s="43">
        <f t="shared" si="31"/>
        <v>-0.14670302316287875</v>
      </c>
      <c r="M177" s="16">
        <v>72.158463098305674</v>
      </c>
      <c r="N177" s="45">
        <f t="shared" si="33"/>
        <v>-8.8758240069296779E-2</v>
      </c>
      <c r="O177" s="51">
        <v>108809.44</v>
      </c>
      <c r="P177" s="27">
        <f t="shared" si="35"/>
        <v>276.41163470087639</v>
      </c>
      <c r="Q177" s="7" t="e">
        <v>#N/A</v>
      </c>
      <c r="R177" s="59" t="e">
        <v>#N/A</v>
      </c>
      <c r="S177" s="98">
        <v>13.1559588565586</v>
      </c>
      <c r="T177" s="67">
        <v>1</v>
      </c>
      <c r="U177" s="80">
        <v>252.077439530313</v>
      </c>
      <c r="V177" s="78">
        <f t="shared" si="36"/>
        <v>263.25567584431781</v>
      </c>
      <c r="W177" s="79">
        <f t="shared" si="37"/>
        <v>263.25567584431781</v>
      </c>
      <c r="X177" s="17">
        <f t="shared" si="38"/>
        <v>257.89882797751471</v>
      </c>
      <c r="Y177" s="43">
        <f t="shared" si="39"/>
        <v>4.1426313895808725E-2</v>
      </c>
      <c r="Z177" s="16">
        <v>235.59919874446251</v>
      </c>
      <c r="AA177" s="45">
        <f t="shared" si="40"/>
        <v>0.20138644207762946</v>
      </c>
    </row>
    <row r="178" spans="1:27" x14ac:dyDescent="0.2">
      <c r="A178" s="4">
        <f t="shared" si="34"/>
        <v>44743</v>
      </c>
      <c r="B178" s="26">
        <v>120064.85000000002</v>
      </c>
      <c r="C178" s="27">
        <f t="shared" si="28"/>
        <v>72.1179151760754</v>
      </c>
      <c r="D178" s="7" t="e">
        <v>#N/A</v>
      </c>
      <c r="E178" s="8" t="e">
        <v>#N/A</v>
      </c>
      <c r="F178" s="100">
        <v>1.28853530038973</v>
      </c>
      <c r="G178" s="13">
        <v>1</v>
      </c>
      <c r="H178" s="18">
        <v>75.441065863777794</v>
      </c>
      <c r="I178" s="19">
        <f t="shared" si="29"/>
        <v>55.968909159308744</v>
      </c>
      <c r="J178" s="20">
        <f t="shared" si="30"/>
        <v>55.968909159308744</v>
      </c>
      <c r="K178" s="17">
        <f t="shared" si="32"/>
        <v>67.367248878303783</v>
      </c>
      <c r="L178" s="43">
        <f t="shared" si="31"/>
        <v>-0.22499090823890985</v>
      </c>
      <c r="M178" s="16">
        <v>71.393997585621278</v>
      </c>
      <c r="N178" s="45">
        <f t="shared" si="33"/>
        <v>-0.3077124018951225</v>
      </c>
      <c r="O178" s="51">
        <v>114000.53</v>
      </c>
      <c r="P178" s="27">
        <f t="shared" si="35"/>
        <v>289.59870443287184</v>
      </c>
      <c r="Q178" s="7" t="e">
        <v>#N/A</v>
      </c>
      <c r="R178" s="59" t="e">
        <v>#N/A</v>
      </c>
      <c r="S178" s="98">
        <v>33.900007036389503</v>
      </c>
      <c r="T178" s="67">
        <v>1</v>
      </c>
      <c r="U178" s="80">
        <v>259.17561138236101</v>
      </c>
      <c r="V178" s="78">
        <f t="shared" si="36"/>
        <v>255.69869739648234</v>
      </c>
      <c r="W178" s="79">
        <f t="shared" si="37"/>
        <v>255.69869739648234</v>
      </c>
      <c r="X178" s="17">
        <f t="shared" si="38"/>
        <v>257.8132375859887</v>
      </c>
      <c r="Y178" s="43">
        <f t="shared" si="39"/>
        <v>-3.319309282335435E-4</v>
      </c>
      <c r="Z178" s="16">
        <v>236.44580844223771</v>
      </c>
      <c r="AA178" s="45">
        <f t="shared" si="40"/>
        <v>0.16856550063234277</v>
      </c>
    </row>
    <row r="179" spans="1:27" x14ac:dyDescent="0.2">
      <c r="A179" s="4">
        <f t="shared" si="34"/>
        <v>44774</v>
      </c>
      <c r="B179" s="26">
        <v>114334.24</v>
      </c>
      <c r="C179" s="27">
        <f t="shared" si="28"/>
        <v>68.675778315144242</v>
      </c>
      <c r="D179" s="7" t="e">
        <v>#N/A</v>
      </c>
      <c r="E179" s="8" t="e">
        <v>#N/A</v>
      </c>
      <c r="F179" s="100">
        <v>1.11852147124499</v>
      </c>
      <c r="G179" s="13">
        <v>1</v>
      </c>
      <c r="H179" s="18">
        <v>76.8771478335197</v>
      </c>
      <c r="I179" s="19">
        <f t="shared" si="29"/>
        <v>61.398712568926783</v>
      </c>
      <c r="J179" s="20">
        <f t="shared" si="30"/>
        <v>61.398712568926783</v>
      </c>
      <c r="K179" s="17">
        <f t="shared" si="32"/>
        <v>60.640029826708641</v>
      </c>
      <c r="L179" s="43">
        <f t="shared" si="31"/>
        <v>-0.10520374493392841</v>
      </c>
      <c r="M179" s="16">
        <v>70.630441626647411</v>
      </c>
      <c r="N179" s="45">
        <f t="shared" si="33"/>
        <v>-0.38658015179278493</v>
      </c>
      <c r="O179" s="51">
        <v>118536.98000000001</v>
      </c>
      <c r="P179" s="27">
        <f t="shared" si="35"/>
        <v>301.12277403785089</v>
      </c>
      <c r="Q179" s="7" t="e">
        <v>#N/A</v>
      </c>
      <c r="R179" s="59" t="e">
        <v>#N/A</v>
      </c>
      <c r="S179" s="98">
        <v>44.522894331178598</v>
      </c>
      <c r="T179" s="67">
        <v>1</v>
      </c>
      <c r="U179" s="80">
        <v>262.60360039782802</v>
      </c>
      <c r="V179" s="78">
        <f t="shared" si="36"/>
        <v>256.59987970667231</v>
      </c>
      <c r="W179" s="79">
        <f t="shared" si="37"/>
        <v>256.59987970667231</v>
      </c>
      <c r="X179" s="17">
        <f t="shared" si="38"/>
        <v>258.41885015759118</v>
      </c>
      <c r="Y179" s="43">
        <f t="shared" si="39"/>
        <v>2.3462813095410087E-3</v>
      </c>
      <c r="Z179" s="16">
        <v>237.30552557266299</v>
      </c>
      <c r="AA179" s="45">
        <f t="shared" si="40"/>
        <v>0.16321649781055814</v>
      </c>
    </row>
    <row r="180" spans="1:27" x14ac:dyDescent="0.2">
      <c r="A180" s="4">
        <f t="shared" si="34"/>
        <v>44805</v>
      </c>
      <c r="B180" s="26">
        <v>113963.35000000002</v>
      </c>
      <c r="C180" s="27">
        <f t="shared" si="28"/>
        <v>68.453000261786798</v>
      </c>
      <c r="D180" s="7" t="e">
        <v>#N/A</v>
      </c>
      <c r="E180" s="8" t="e">
        <v>#N/A</v>
      </c>
      <c r="F180" s="100">
        <v>1.07303556688803</v>
      </c>
      <c r="G180" s="13">
        <v>1</v>
      </c>
      <c r="H180" s="18">
        <v>79.915841503693997</v>
      </c>
      <c r="I180" s="19">
        <f t="shared" si="29"/>
        <v>63.79378500967227</v>
      </c>
      <c r="J180" s="20">
        <f t="shared" si="30"/>
        <v>63.79378500967227</v>
      </c>
      <c r="K180" s="17">
        <f t="shared" si="32"/>
        <v>76.691965800132181</v>
      </c>
      <c r="L180" s="43">
        <f t="shared" si="31"/>
        <v>0.23484172131892325</v>
      </c>
      <c r="M180" s="16">
        <v>69.868635775766336</v>
      </c>
      <c r="N180" s="45">
        <f t="shared" si="33"/>
        <v>-0.18455693914856564</v>
      </c>
      <c r="O180" s="51">
        <v>119621.76999999999</v>
      </c>
      <c r="P180" s="27">
        <f t="shared" si="35"/>
        <v>303.87849612600024</v>
      </c>
      <c r="Q180" s="7" t="e">
        <v>#N/A</v>
      </c>
      <c r="R180" s="59" t="e">
        <v>#N/A</v>
      </c>
      <c r="S180" s="98">
        <v>39.101552305462398</v>
      </c>
      <c r="T180" s="67">
        <v>1</v>
      </c>
      <c r="U180" s="80">
        <v>262.12136689981497</v>
      </c>
      <c r="V180" s="78">
        <f t="shared" si="36"/>
        <v>264.77694382053784</v>
      </c>
      <c r="W180" s="79">
        <f t="shared" si="37"/>
        <v>264.77694382053784</v>
      </c>
      <c r="X180" s="17">
        <f t="shared" si="38"/>
        <v>265.65214790965916</v>
      </c>
      <c r="Y180" s="43">
        <f t="shared" si="39"/>
        <v>2.76060195773653E-2</v>
      </c>
      <c r="Z180" s="16">
        <v>238.17730658789321</v>
      </c>
      <c r="AA180" s="45">
        <f t="shared" si="40"/>
        <v>0.17637336959745964</v>
      </c>
    </row>
    <row r="181" spans="1:27" x14ac:dyDescent="0.2">
      <c r="A181" s="4">
        <f t="shared" si="34"/>
        <v>44835</v>
      </c>
      <c r="B181" s="26">
        <v>200355.37000000002</v>
      </c>
      <c r="C181" s="27">
        <f t="shared" si="28"/>
        <v>120.34506001324452</v>
      </c>
      <c r="D181" s="7" t="e">
        <v>#N/A</v>
      </c>
      <c r="E181" s="8" t="e">
        <v>#N/A</v>
      </c>
      <c r="F181" s="100">
        <v>1.0015992326391401</v>
      </c>
      <c r="G181" s="13">
        <v>0.93784118303887798</v>
      </c>
      <c r="H181" s="18">
        <v>82.003421045496594</v>
      </c>
      <c r="I181" s="19">
        <f t="shared" si="29"/>
        <v>120.15290756178413</v>
      </c>
      <c r="J181" s="20">
        <f t="shared" si="30"/>
        <v>117.78158061225741</v>
      </c>
      <c r="K181" s="17">
        <f t="shared" si="32"/>
        <v>97.274287215760964</v>
      </c>
      <c r="L181" s="43">
        <f t="shared" si="31"/>
        <v>0.23773773680836927</v>
      </c>
      <c r="M181" s="16">
        <v>69.109343500849775</v>
      </c>
      <c r="N181" s="45">
        <f t="shared" si="33"/>
        <v>7.7730221860875304E-2</v>
      </c>
      <c r="O181" s="51">
        <v>125168.36000000002</v>
      </c>
      <c r="P181" s="27">
        <f t="shared" si="35"/>
        <v>317.968652356154</v>
      </c>
      <c r="Q181" s="7" t="e">
        <v>#N/A</v>
      </c>
      <c r="R181" s="59" t="e">
        <v>#N/A</v>
      </c>
      <c r="S181" s="98">
        <v>30.2931542652586</v>
      </c>
      <c r="T181" s="67">
        <v>0.61439539870510396</v>
      </c>
      <c r="U181" s="80">
        <v>258.57658754281903</v>
      </c>
      <c r="V181" s="78">
        <f t="shared" si="36"/>
        <v>287.67549809089542</v>
      </c>
      <c r="W181" s="79">
        <f t="shared" si="37"/>
        <v>276.45482429088861</v>
      </c>
      <c r="X181" s="17">
        <f t="shared" si="38"/>
        <v>264.31335671161628</v>
      </c>
      <c r="Y181" s="43">
        <f t="shared" si="39"/>
        <v>-5.0523818409394057E-3</v>
      </c>
      <c r="Z181" s="16">
        <v>239.06027085153821</v>
      </c>
      <c r="AA181" s="45">
        <f t="shared" si="40"/>
        <v>0.1589913641825722</v>
      </c>
    </row>
    <row r="182" spans="1:27" x14ac:dyDescent="0.2">
      <c r="A182" s="4">
        <f t="shared" si="34"/>
        <v>44866</v>
      </c>
      <c r="B182" s="26">
        <v>164637.45000000001</v>
      </c>
      <c r="C182" s="27">
        <f t="shared" si="28"/>
        <v>98.890804876742479</v>
      </c>
      <c r="D182" s="7" t="e">
        <v>#N/A</v>
      </c>
      <c r="E182" s="8" t="e">
        <v>#N/A</v>
      </c>
      <c r="F182" s="100">
        <v>0.658831465591591</v>
      </c>
      <c r="G182" s="13">
        <v>0.12627169810472599</v>
      </c>
      <c r="H182" s="18">
        <v>81.016926995789902</v>
      </c>
      <c r="I182" s="19">
        <f t="shared" si="29"/>
        <v>150.10030643868001</v>
      </c>
      <c r="J182" s="20">
        <f t="shared" si="30"/>
        <v>89.740202628856764</v>
      </c>
      <c r="K182" s="17">
        <f t="shared" si="32"/>
        <v>92.584662252253281</v>
      </c>
      <c r="L182" s="43">
        <f t="shared" si="31"/>
        <v>-4.9411197818209004E-2</v>
      </c>
      <c r="M182" s="16">
        <v>68.353380918920749</v>
      </c>
      <c r="N182" s="45">
        <f t="shared" si="33"/>
        <v>-1.7177749119255403E-2</v>
      </c>
      <c r="O182" s="51">
        <v>104462.54000000001</v>
      </c>
      <c r="P182" s="27">
        <f t="shared" si="35"/>
        <v>265.36908421186337</v>
      </c>
      <c r="Q182" s="7" t="e">
        <v>#N/A</v>
      </c>
      <c r="R182" s="59" t="e">
        <v>#N/A</v>
      </c>
      <c r="S182" s="98">
        <v>25.802249767713299</v>
      </c>
      <c r="T182" s="67">
        <v>1</v>
      </c>
      <c r="U182" s="80">
        <v>254.47355531350999</v>
      </c>
      <c r="V182" s="78">
        <f t="shared" si="36"/>
        <v>239.56683444415006</v>
      </c>
      <c r="W182" s="79">
        <f t="shared" si="37"/>
        <v>239.56683444415006</v>
      </c>
      <c r="X182" s="17">
        <f t="shared" si="38"/>
        <v>249.29041395895035</v>
      </c>
      <c r="Y182" s="43">
        <f t="shared" si="39"/>
        <v>-5.8516818549566016E-2</v>
      </c>
      <c r="Z182" s="16">
        <v>239.9537497244408</v>
      </c>
      <c r="AA182" s="45">
        <f t="shared" si="40"/>
        <v>0.10142317685421331</v>
      </c>
    </row>
    <row r="183" spans="1:27" x14ac:dyDescent="0.2">
      <c r="A183" s="4">
        <f t="shared" si="34"/>
        <v>44896</v>
      </c>
      <c r="B183" s="26">
        <v>98822.42</v>
      </c>
      <c r="C183" s="27">
        <f t="shared" si="28"/>
        <v>59.35847921397891</v>
      </c>
      <c r="D183" s="7" t="e">
        <v>#N/A</v>
      </c>
      <c r="E183" s="8" t="e">
        <v>#N/A</v>
      </c>
      <c r="F183" s="100">
        <v>0.81227681539095697</v>
      </c>
      <c r="G183" s="13">
        <v>1</v>
      </c>
      <c r="H183" s="18">
        <v>75.603698934969003</v>
      </c>
      <c r="I183" s="19">
        <f t="shared" si="29"/>
        <v>73.076663139042168</v>
      </c>
      <c r="J183" s="20">
        <f t="shared" si="30"/>
        <v>73.076663139042168</v>
      </c>
      <c r="K183" s="17">
        <f t="shared" si="32"/>
        <v>70.964572692672363</v>
      </c>
      <c r="L183" s="43">
        <f t="shared" si="31"/>
        <v>-0.26594271715658624</v>
      </c>
      <c r="M183" s="16">
        <v>67.601781469099933</v>
      </c>
      <c r="N183" s="45">
        <f t="shared" si="33"/>
        <v>-0.39420649841124367</v>
      </c>
      <c r="O183" s="51">
        <v>94744.419999999984</v>
      </c>
      <c r="P183" s="27">
        <f t="shared" si="35"/>
        <v>240.68187476184423</v>
      </c>
      <c r="Q183" s="7" t="e">
        <v>#N/A</v>
      </c>
      <c r="R183" s="59" t="e">
        <v>#N/A</v>
      </c>
      <c r="S183" s="98">
        <v>-0.89128789476850101</v>
      </c>
      <c r="T183" s="67">
        <v>1</v>
      </c>
      <c r="U183" s="80">
        <v>251.249200507457</v>
      </c>
      <c r="V183" s="78">
        <f t="shared" si="36"/>
        <v>241.57316265661274</v>
      </c>
      <c r="W183" s="79">
        <f t="shared" si="37"/>
        <v>241.57316265661274</v>
      </c>
      <c r="X183" s="17">
        <f t="shared" si="38"/>
        <v>245.52654761710679</v>
      </c>
      <c r="Y183" s="43">
        <f t="shared" si="39"/>
        <v>-1.5213459639477147E-2</v>
      </c>
      <c r="Z183" s="16">
        <v>240.85726942150191</v>
      </c>
      <c r="AA183" s="45">
        <f t="shared" si="40"/>
        <v>0.10346570575825931</v>
      </c>
    </row>
    <row r="184" spans="1:27" x14ac:dyDescent="0.2">
      <c r="A184" s="4">
        <f t="shared" si="34"/>
        <v>44927</v>
      </c>
      <c r="B184" s="26">
        <v>60607.670000000006</v>
      </c>
      <c r="C184" s="27">
        <f t="shared" si="28"/>
        <v>36.404483111248375</v>
      </c>
      <c r="D184" s="7" t="e">
        <v>#N/A</v>
      </c>
      <c r="E184" s="8" t="e">
        <v>#N/A</v>
      </c>
      <c r="F184" s="100">
        <v>0.77627166534113601</v>
      </c>
      <c r="G184" s="13">
        <v>0.94665502224268505</v>
      </c>
      <c r="H184" s="18">
        <v>66.920689914750596</v>
      </c>
      <c r="I184" s="19">
        <f t="shared" si="29"/>
        <v>46.896575949671259</v>
      </c>
      <c r="J184" s="20">
        <f t="shared" si="30"/>
        <v>47.964761863748357</v>
      </c>
      <c r="K184" s="17">
        <f t="shared" si="32"/>
        <v>54.031538706774491</v>
      </c>
      <c r="L184" s="43">
        <f t="shared" si="31"/>
        <v>-0.27261285015290687</v>
      </c>
      <c r="M184" s="16">
        <v>66.855765560269361</v>
      </c>
      <c r="N184" s="45">
        <f t="shared" si="33"/>
        <v>-0.61362757031694082</v>
      </c>
      <c r="O184" s="51">
        <v>95216.62</v>
      </c>
      <c r="P184" s="27">
        <f t="shared" si="35"/>
        <v>241.88141750285786</v>
      </c>
      <c r="Q184" s="7" t="e">
        <v>#N/A</v>
      </c>
      <c r="R184" s="59" t="e">
        <v>#N/A</v>
      </c>
      <c r="S184" s="98">
        <v>-17.511613208193801</v>
      </c>
      <c r="T184" s="67">
        <v>1</v>
      </c>
      <c r="U184" s="80">
        <v>248.70325609172301</v>
      </c>
      <c r="V184" s="78">
        <f t="shared" si="36"/>
        <v>259.39303071105167</v>
      </c>
      <c r="W184" s="79">
        <f t="shared" si="37"/>
        <v>259.39303071105167</v>
      </c>
      <c r="X184" s="17">
        <f t="shared" si="38"/>
        <v>250.24040688589866</v>
      </c>
      <c r="Y184" s="43">
        <f t="shared" si="39"/>
        <v>1.9017005016851867E-2</v>
      </c>
      <c r="Z184" s="16">
        <v>241.77042819978379</v>
      </c>
      <c r="AA184" s="45">
        <f t="shared" si="40"/>
        <v>0.12177443951899969</v>
      </c>
    </row>
    <row r="185" spans="1:27" x14ac:dyDescent="0.2">
      <c r="A185" s="4">
        <f t="shared" si="34"/>
        <v>44958</v>
      </c>
      <c r="B185" s="26">
        <v>44574.260000000009</v>
      </c>
      <c r="C185" s="27">
        <f t="shared" si="28"/>
        <v>26.773886792981717</v>
      </c>
      <c r="D185" s="7" t="e">
        <v>#N/A</v>
      </c>
      <c r="E185" s="8" t="e">
        <v>#N/A</v>
      </c>
      <c r="F185" s="100">
        <v>0.82230263468716902</v>
      </c>
      <c r="G185" s="13">
        <v>0.406212333280213</v>
      </c>
      <c r="H185" s="18">
        <v>57.080734513483897</v>
      </c>
      <c r="I185" s="19">
        <f t="shared" si="29"/>
        <v>32.559650989282531</v>
      </c>
      <c r="J185" s="20">
        <f t="shared" si="30"/>
        <v>47.119967960559073</v>
      </c>
      <c r="K185" s="17">
        <f t="shared" si="32"/>
        <v>49.441256526343444</v>
      </c>
      <c r="L185" s="43">
        <f t="shared" si="31"/>
        <v>-8.8782698195508797E-2</v>
      </c>
      <c r="M185" s="16">
        <v>66.11657954877461</v>
      </c>
      <c r="N185" s="45">
        <f t="shared" si="33"/>
        <v>-0.60900964153290849</v>
      </c>
      <c r="O185" s="51">
        <v>79498.070000000007</v>
      </c>
      <c r="P185" s="27">
        <f t="shared" si="35"/>
        <v>201.9511494982853</v>
      </c>
      <c r="Q185" s="7" t="e">
        <v>#N/A</v>
      </c>
      <c r="R185" s="59" t="e">
        <v>#N/A</v>
      </c>
      <c r="S185" s="98">
        <v>-38.651253966593302</v>
      </c>
      <c r="T185" s="67">
        <v>1</v>
      </c>
      <c r="U185" s="80">
        <v>246.630499533262</v>
      </c>
      <c r="V185" s="78">
        <f t="shared" si="36"/>
        <v>240.60240346487859</v>
      </c>
      <c r="W185" s="79">
        <f t="shared" si="37"/>
        <v>240.60240346487859</v>
      </c>
      <c r="X185" s="17">
        <f t="shared" si="38"/>
        <v>245.90723143806068</v>
      </c>
      <c r="Y185" s="43">
        <f t="shared" si="39"/>
        <v>-1.7467726504369778E-2</v>
      </c>
      <c r="Z185" s="16">
        <v>242.6928603447297</v>
      </c>
      <c r="AA185" s="45">
        <f t="shared" si="40"/>
        <v>0.10576459393128501</v>
      </c>
    </row>
    <row r="186" spans="1:27" x14ac:dyDescent="0.2">
      <c r="A186" s="4">
        <f t="shared" si="34"/>
        <v>44986</v>
      </c>
      <c r="B186" s="26">
        <v>100427.18999999999</v>
      </c>
      <c r="C186" s="27">
        <f t="shared" si="28"/>
        <v>60.322397186117385</v>
      </c>
      <c r="D186" s="7" t="e">
        <v>#N/A</v>
      </c>
      <c r="E186" s="8" t="e">
        <v>#N/A</v>
      </c>
      <c r="F186" s="100">
        <v>1.0857098762652999</v>
      </c>
      <c r="G186" s="13">
        <v>1</v>
      </c>
      <c r="H186" s="18">
        <v>49.476044330629698</v>
      </c>
      <c r="I186" s="19">
        <f t="shared" si="29"/>
        <v>55.560328320507267</v>
      </c>
      <c r="J186" s="20">
        <f t="shared" si="30"/>
        <v>55.560328320507267</v>
      </c>
      <c r="K186" s="17">
        <f t="shared" si="32"/>
        <v>53.328446867648069</v>
      </c>
      <c r="L186" s="43">
        <f t="shared" si="31"/>
        <v>7.56846731333123E-2</v>
      </c>
      <c r="M186" s="16">
        <v>65.385370838595321</v>
      </c>
      <c r="N186" s="45">
        <f t="shared" si="33"/>
        <v>-0.49635296201259549</v>
      </c>
      <c r="O186" s="51">
        <v>79034.280000000013</v>
      </c>
      <c r="P186" s="27">
        <f t="shared" si="35"/>
        <v>200.77297091324783</v>
      </c>
      <c r="Q186" s="7" t="e">
        <v>#N/A</v>
      </c>
      <c r="R186" s="59" t="e">
        <v>#N/A</v>
      </c>
      <c r="S186" s="98">
        <v>-42.258117198186</v>
      </c>
      <c r="T186" s="67">
        <v>1</v>
      </c>
      <c r="U186" s="80">
        <v>244.93363177262199</v>
      </c>
      <c r="V186" s="78">
        <f t="shared" si="36"/>
        <v>243.03108811143383</v>
      </c>
      <c r="W186" s="79">
        <f t="shared" si="37"/>
        <v>243.03108811143383</v>
      </c>
      <c r="X186" s="17">
        <f t="shared" si="38"/>
        <v>245.98623166141667</v>
      </c>
      <c r="Y186" s="43">
        <f t="shared" si="39"/>
        <v>3.2120867611221999E-4</v>
      </c>
      <c r="Z186" s="16">
        <v>243.62426549655731</v>
      </c>
      <c r="AA186" s="45">
        <f t="shared" si="40"/>
        <v>0.12433490770364708</v>
      </c>
    </row>
    <row r="187" spans="1:27" x14ac:dyDescent="0.2">
      <c r="A187" s="4">
        <f t="shared" si="34"/>
        <v>45017</v>
      </c>
      <c r="B187" s="26">
        <v>97986.250000000015</v>
      </c>
      <c r="C187" s="27">
        <f t="shared" si="28"/>
        <v>58.856226996674863</v>
      </c>
      <c r="D187" s="7" t="e">
        <v>#N/A</v>
      </c>
      <c r="E187" s="8" t="e">
        <v>#N/A</v>
      </c>
      <c r="F187" s="100">
        <v>1.0686916082276501</v>
      </c>
      <c r="G187" s="13">
        <v>1</v>
      </c>
      <c r="H187" s="18">
        <v>45.731391994950698</v>
      </c>
      <c r="I187" s="19">
        <f t="shared" si="29"/>
        <v>55.073162869018667</v>
      </c>
      <c r="J187" s="20">
        <f t="shared" si="30"/>
        <v>55.073162869018667</v>
      </c>
      <c r="K187" s="17">
        <f t="shared" si="32"/>
        <v>53.082811076230556</v>
      </c>
      <c r="L187" s="43">
        <f t="shared" si="31"/>
        <v>-4.6167338392286636E-3</v>
      </c>
      <c r="M187" s="16">
        <v>64.663158166093012</v>
      </c>
      <c r="N187" s="45">
        <f t="shared" si="33"/>
        <v>-0.48471859089087432</v>
      </c>
      <c r="O187" s="51">
        <v>81745.88</v>
      </c>
      <c r="P187" s="27">
        <f t="shared" si="35"/>
        <v>207.6613235107329</v>
      </c>
      <c r="Q187" s="7" t="e">
        <v>#N/A</v>
      </c>
      <c r="R187" s="59" t="e">
        <v>#N/A</v>
      </c>
      <c r="S187" s="98">
        <v>-59.197548038865897</v>
      </c>
      <c r="T187" s="67">
        <v>0.60346829836754701</v>
      </c>
      <c r="U187" s="80">
        <v>242.70311161352001</v>
      </c>
      <c r="V187" s="78">
        <f t="shared" si="36"/>
        <v>266.8588715495988</v>
      </c>
      <c r="W187" s="79">
        <f t="shared" si="37"/>
        <v>257.28034695792041</v>
      </c>
      <c r="X187" s="17">
        <f t="shared" si="38"/>
        <v>248.97168815371487</v>
      </c>
      <c r="Y187" s="43">
        <f t="shared" si="39"/>
        <v>1.2063622296188844E-2</v>
      </c>
      <c r="Z187" s="16">
        <v>244.5643680977297</v>
      </c>
      <c r="AA187" s="45">
        <f t="shared" si="40"/>
        <v>8.9777900747451511E-2</v>
      </c>
    </row>
    <row r="188" spans="1:27" x14ac:dyDescent="0.2">
      <c r="A188" s="4">
        <f t="shared" si="34"/>
        <v>45047</v>
      </c>
      <c r="B188" s="26">
        <v>85583.62999999999</v>
      </c>
      <c r="C188" s="27">
        <f t="shared" si="28"/>
        <v>51.406493813973199</v>
      </c>
      <c r="D188" s="7" t="e">
        <v>#N/A</v>
      </c>
      <c r="E188" s="8" t="e">
        <v>#N/A</v>
      </c>
      <c r="F188" s="100">
        <v>1.1025618357679201</v>
      </c>
      <c r="G188" s="13">
        <v>1</v>
      </c>
      <c r="H188" s="18">
        <v>45.122994993032002</v>
      </c>
      <c r="I188" s="19">
        <f t="shared" si="29"/>
        <v>46.624590246377643</v>
      </c>
      <c r="J188" s="20">
        <f t="shared" si="30"/>
        <v>46.624590246377643</v>
      </c>
      <c r="K188" s="17">
        <f t="shared" si="32"/>
        <v>45.113270458700427</v>
      </c>
      <c r="L188" s="43">
        <f t="shared" si="31"/>
        <v>-0.16267671886640514</v>
      </c>
      <c r="M188" s="16">
        <v>63.950867235810477</v>
      </c>
      <c r="N188" s="45">
        <f t="shared" si="33"/>
        <v>-0.53822451125117232</v>
      </c>
      <c r="O188" s="51">
        <v>81190.559999999998</v>
      </c>
      <c r="P188" s="27">
        <f t="shared" si="35"/>
        <v>206.2506287311063</v>
      </c>
      <c r="Q188" s="7" t="e">
        <v>#N/A</v>
      </c>
      <c r="R188" s="59" t="e">
        <v>#N/A</v>
      </c>
      <c r="S188" s="98">
        <v>-32.044341856478503</v>
      </c>
      <c r="T188" s="67">
        <v>1</v>
      </c>
      <c r="U188" s="80">
        <v>239.349130594483</v>
      </c>
      <c r="V188" s="78">
        <f t="shared" si="36"/>
        <v>238.2949705875848</v>
      </c>
      <c r="W188" s="79">
        <f t="shared" si="37"/>
        <v>238.2949705875848</v>
      </c>
      <c r="X188" s="17">
        <f t="shared" si="38"/>
        <v>239.47594036415057</v>
      </c>
      <c r="Y188" s="43">
        <f t="shared" si="39"/>
        <v>-3.888623377118286E-2</v>
      </c>
      <c r="Z188" s="16">
        <v>245.51291081575869</v>
      </c>
      <c r="AA188" s="45">
        <f t="shared" si="40"/>
        <v>-3.2159618514530974E-2</v>
      </c>
    </row>
    <row r="189" spans="1:27" x14ac:dyDescent="0.2">
      <c r="A189" s="4">
        <f t="shared" si="34"/>
        <v>45078</v>
      </c>
      <c r="B189" s="26">
        <v>63536.780000000013</v>
      </c>
      <c r="C189" s="27">
        <f t="shared" si="28"/>
        <v>38.163876526735045</v>
      </c>
      <c r="D189" s="7" t="e">
        <v>#N/A</v>
      </c>
      <c r="E189" s="8" t="e">
        <v>#N/A</v>
      </c>
      <c r="F189" s="100">
        <v>1.1877684217800299</v>
      </c>
      <c r="G189" s="13">
        <v>1</v>
      </c>
      <c r="H189" s="18">
        <v>44.681056248177299</v>
      </c>
      <c r="I189" s="19">
        <f t="shared" si="29"/>
        <v>32.130738473027741</v>
      </c>
      <c r="J189" s="20">
        <f t="shared" si="30"/>
        <v>32.130738473027741</v>
      </c>
      <c r="K189" s="17">
        <f t="shared" si="32"/>
        <v>37.863229930219681</v>
      </c>
      <c r="L189" s="43">
        <f t="shared" si="31"/>
        <v>-0.1751959938159425</v>
      </c>
      <c r="M189" s="16">
        <v>63.249334397759291</v>
      </c>
      <c r="N189" s="45">
        <f t="shared" si="33"/>
        <v>-0.55119618831795025</v>
      </c>
      <c r="O189" s="51">
        <v>86671.950000000012</v>
      </c>
      <c r="P189" s="27">
        <f t="shared" si="35"/>
        <v>220.1751555950718</v>
      </c>
      <c r="Q189" s="7" t="e">
        <v>#N/A</v>
      </c>
      <c r="R189" s="59" t="e">
        <v>#N/A</v>
      </c>
      <c r="S189" s="98">
        <v>13.9078528111322</v>
      </c>
      <c r="T189" s="67">
        <v>0.38980209147485601</v>
      </c>
      <c r="U189" s="80">
        <v>235.38272630696301</v>
      </c>
      <c r="V189" s="78">
        <f t="shared" si="36"/>
        <v>206.26730278393961</v>
      </c>
      <c r="W189" s="79">
        <f t="shared" si="37"/>
        <v>224.03347332351228</v>
      </c>
      <c r="X189" s="17">
        <f t="shared" si="38"/>
        <v>231.82417553274712</v>
      </c>
      <c r="Y189" s="43">
        <f t="shared" si="39"/>
        <v>-3.2473733775862351E-2</v>
      </c>
      <c r="Z189" s="16">
        <v>246.46967032525421</v>
      </c>
      <c r="AA189" s="45">
        <f t="shared" si="40"/>
        <v>-0.10110419131893433</v>
      </c>
    </row>
    <row r="190" spans="1:27" x14ac:dyDescent="0.2">
      <c r="A190" s="4">
        <f t="shared" si="34"/>
        <v>45108</v>
      </c>
      <c r="B190" s="26">
        <v>86327.24</v>
      </c>
      <c r="C190" s="27">
        <f t="shared" si="28"/>
        <v>51.853149124866292</v>
      </c>
      <c r="D190" s="7" t="e">
        <v>#N/A</v>
      </c>
      <c r="E190" s="8" t="e">
        <v>#N/A</v>
      </c>
      <c r="F190" s="100">
        <v>1.2782147465965401</v>
      </c>
      <c r="G190" s="13">
        <v>1</v>
      </c>
      <c r="H190" s="18">
        <v>43.369501202951703</v>
      </c>
      <c r="I190" s="19">
        <f t="shared" si="29"/>
        <v>40.566852528445587</v>
      </c>
      <c r="J190" s="20">
        <f t="shared" si="30"/>
        <v>40.566852528445587</v>
      </c>
      <c r="K190" s="17">
        <f t="shared" si="32"/>
        <v>40.851228006286973</v>
      </c>
      <c r="L190" s="43">
        <f t="shared" si="31"/>
        <v>7.5956427592532003E-2</v>
      </c>
      <c r="M190" s="16">
        <v>62.559250650124177</v>
      </c>
      <c r="N190" s="45">
        <f t="shared" si="33"/>
        <v>-0.39360403331768723</v>
      </c>
      <c r="O190" s="51">
        <v>110786.82</v>
      </c>
      <c r="P190" s="27">
        <f t="shared" si="35"/>
        <v>281.43482789279818</v>
      </c>
      <c r="Q190" s="7" t="e">
        <v>#N/A</v>
      </c>
      <c r="R190" s="59" t="e">
        <v>#N/A</v>
      </c>
      <c r="S190" s="98">
        <v>40.500042996418998</v>
      </c>
      <c r="T190" s="67">
        <v>1</v>
      </c>
      <c r="U190" s="80">
        <v>233.28566973139399</v>
      </c>
      <c r="V190" s="78">
        <f t="shared" si="36"/>
        <v>240.9347848963792</v>
      </c>
      <c r="W190" s="79">
        <f t="shared" si="37"/>
        <v>240.9347848963792</v>
      </c>
      <c r="X190" s="17">
        <f t="shared" si="38"/>
        <v>234.82393535701937</v>
      </c>
      <c r="Y190" s="43">
        <f t="shared" si="39"/>
        <v>1.2856801839264461E-2</v>
      </c>
      <c r="Z190" s="16">
        <v>247.4343767192637</v>
      </c>
      <c r="AA190" s="45">
        <f t="shared" si="40"/>
        <v>-8.9170371716470465E-2</v>
      </c>
    </row>
    <row r="191" spans="1:27" x14ac:dyDescent="0.2">
      <c r="A191" s="4">
        <f t="shared" si="34"/>
        <v>45139</v>
      </c>
      <c r="B191" s="26">
        <v>92156.299999999974</v>
      </c>
      <c r="C191" s="27">
        <f t="shared" si="28"/>
        <v>55.354420767951275</v>
      </c>
      <c r="D191" s="7" t="e">
        <v>#N/A</v>
      </c>
      <c r="E191" s="8" t="e">
        <v>#N/A</v>
      </c>
      <c r="F191" s="100">
        <v>1.1039869077653</v>
      </c>
      <c r="G191" s="13">
        <v>1</v>
      </c>
      <c r="H191" s="18">
        <v>41.5971154744297</v>
      </c>
      <c r="I191" s="19">
        <f t="shared" si="29"/>
        <v>50.140468495228973</v>
      </c>
      <c r="J191" s="20">
        <f t="shared" si="30"/>
        <v>50.140468495228973</v>
      </c>
      <c r="K191" s="17">
        <f t="shared" si="32"/>
        <v>48.107894552937715</v>
      </c>
      <c r="L191" s="43">
        <f t="shared" si="31"/>
        <v>0.16350940935631239</v>
      </c>
      <c r="M191" s="16">
        <v>61.881111110654672</v>
      </c>
      <c r="N191" s="45">
        <f t="shared" si="33"/>
        <v>-0.20666439824624228</v>
      </c>
      <c r="O191" s="51">
        <v>111210.51</v>
      </c>
      <c r="P191" s="27">
        <f t="shared" si="35"/>
        <v>282.51113933697445</v>
      </c>
      <c r="Q191" s="7" t="e">
        <v>#N/A</v>
      </c>
      <c r="R191" s="59" t="e">
        <v>#N/A</v>
      </c>
      <c r="S191" s="98">
        <v>49.118441025167698</v>
      </c>
      <c r="T191" s="67">
        <v>1</v>
      </c>
      <c r="U191" s="80">
        <v>234.76435192754701</v>
      </c>
      <c r="V191" s="78">
        <f t="shared" si="36"/>
        <v>233.39269831180675</v>
      </c>
      <c r="W191" s="79">
        <f t="shared" si="37"/>
        <v>233.39269831180675</v>
      </c>
      <c r="X191" s="17">
        <f t="shared" si="38"/>
        <v>234.97276168197843</v>
      </c>
      <c r="Y191" s="43">
        <f t="shared" si="39"/>
        <v>6.3357759164999231E-4</v>
      </c>
      <c r="Z191" s="16">
        <v>248.40664708547521</v>
      </c>
      <c r="AA191" s="45">
        <f t="shared" si="40"/>
        <v>-9.0729017876655105E-2</v>
      </c>
    </row>
    <row r="192" spans="1:27" x14ac:dyDescent="0.2">
      <c r="A192" s="4">
        <f t="shared" si="34"/>
        <v>45170</v>
      </c>
      <c r="B192" s="26">
        <v>89429.499999999985</v>
      </c>
      <c r="C192" s="27">
        <f t="shared" si="28"/>
        <v>53.716546476665172</v>
      </c>
      <c r="D192" s="7" t="e">
        <v>#N/A</v>
      </c>
      <c r="E192" s="8" t="e">
        <v>#N/A</v>
      </c>
      <c r="F192" s="100">
        <v>1.04134550481581</v>
      </c>
      <c r="G192" s="13">
        <v>1</v>
      </c>
      <c r="H192" s="18">
        <v>39.987877163744699</v>
      </c>
      <c r="I192" s="19">
        <f t="shared" si="29"/>
        <v>51.583788692847328</v>
      </c>
      <c r="J192" s="20">
        <f t="shared" si="30"/>
        <v>51.583788692847328</v>
      </c>
      <c r="K192" s="17">
        <f t="shared" si="32"/>
        <v>46.90926012342301</v>
      </c>
      <c r="L192" s="43">
        <f t="shared" si="31"/>
        <v>-2.5231191604945691E-2</v>
      </c>
      <c r="M192" s="16">
        <v>61.215243396924294</v>
      </c>
      <c r="N192" s="45">
        <f t="shared" si="33"/>
        <v>-0.38834192559786807</v>
      </c>
      <c r="O192" s="51">
        <v>105858.98</v>
      </c>
      <c r="P192" s="27">
        <f t="shared" si="35"/>
        <v>268.91649942842622</v>
      </c>
      <c r="Q192" s="7" t="e">
        <v>#N/A</v>
      </c>
      <c r="R192" s="59" t="e">
        <v>#N/A</v>
      </c>
      <c r="S192" s="98">
        <v>36.745634220505202</v>
      </c>
      <c r="T192" s="67">
        <v>1</v>
      </c>
      <c r="U192" s="80">
        <v>240.31658538023399</v>
      </c>
      <c r="V192" s="78">
        <f t="shared" si="36"/>
        <v>232.17086520792103</v>
      </c>
      <c r="W192" s="79">
        <f t="shared" si="37"/>
        <v>232.17086520792103</v>
      </c>
      <c r="X192" s="17">
        <f t="shared" si="38"/>
        <v>235.9693673759011</v>
      </c>
      <c r="Y192" s="43">
        <f t="shared" si="39"/>
        <v>4.232397656225316E-3</v>
      </c>
      <c r="Z192" s="16">
        <v>249.38600120878809</v>
      </c>
      <c r="AA192" s="45">
        <f t="shared" si="40"/>
        <v>-0.11173551867479103</v>
      </c>
    </row>
    <row r="193" spans="1:27" x14ac:dyDescent="0.2">
      <c r="A193" s="4">
        <f t="shared" si="34"/>
        <v>45200</v>
      </c>
      <c r="B193" s="26">
        <v>57829.209999999992</v>
      </c>
      <c r="C193" s="27">
        <f t="shared" si="28"/>
        <v>34.735578826604538</v>
      </c>
      <c r="D193" s="7" t="e">
        <v>#N/A</v>
      </c>
      <c r="E193" s="8" t="e">
        <v>#N/A</v>
      </c>
      <c r="F193" s="100">
        <v>1.0118437553567301</v>
      </c>
      <c r="G193" s="13">
        <v>1</v>
      </c>
      <c r="H193" s="18">
        <v>38.716171655949204</v>
      </c>
      <c r="I193" s="19">
        <f t="shared" si="29"/>
        <v>34.328994612768405</v>
      </c>
      <c r="J193" s="20">
        <f t="shared" si="30"/>
        <v>34.328994612768405</v>
      </c>
      <c r="K193" s="17">
        <f t="shared" si="32"/>
        <v>36.742142064917779</v>
      </c>
      <c r="L193" s="43">
        <f t="shared" si="31"/>
        <v>-0.24429071852594197</v>
      </c>
      <c r="M193" s="16">
        <v>60.561868851689262</v>
      </c>
      <c r="N193" s="45">
        <f t="shared" si="33"/>
        <v>-0.62228310156186273</v>
      </c>
      <c r="O193" s="51">
        <v>108685.76000000001</v>
      </c>
      <c r="P193" s="27">
        <f t="shared" si="35"/>
        <v>276.09744697065923</v>
      </c>
      <c r="Q193" s="7" t="e">
        <v>#N/A</v>
      </c>
      <c r="R193" s="59" t="e">
        <v>#N/A</v>
      </c>
      <c r="S193" s="98">
        <v>29.954406194703701</v>
      </c>
      <c r="T193" s="67">
        <v>1</v>
      </c>
      <c r="U193" s="80">
        <v>248.77524741859199</v>
      </c>
      <c r="V193" s="78">
        <f t="shared" si="36"/>
        <v>246.14304077595554</v>
      </c>
      <c r="W193" s="79">
        <f t="shared" si="37"/>
        <v>246.14304077595554</v>
      </c>
      <c r="X193" s="17">
        <f t="shared" si="38"/>
        <v>244.54431370771294</v>
      </c>
      <c r="Y193" s="43">
        <f t="shared" si="39"/>
        <v>3.5694537304584759E-2</v>
      </c>
      <c r="Z193" s="16">
        <v>250.37185521757741</v>
      </c>
      <c r="AA193" s="45">
        <f t="shared" si="40"/>
        <v>-7.479396141706407E-2</v>
      </c>
    </row>
    <row r="194" spans="1:27" x14ac:dyDescent="0.2">
      <c r="A194" s="4">
        <f t="shared" si="34"/>
        <v>45231</v>
      </c>
      <c r="B194" s="26">
        <v>31182.840000000004</v>
      </c>
      <c r="C194" s="27">
        <f t="shared" si="28"/>
        <v>18.730222959251861</v>
      </c>
      <c r="D194" s="7" t="e">
        <v>#N/A</v>
      </c>
      <c r="E194" s="8" t="e">
        <v>#N/A</v>
      </c>
      <c r="F194" s="100">
        <v>0.70902801813526695</v>
      </c>
      <c r="G194" s="13">
        <v>0.97432810152181604</v>
      </c>
      <c r="H194" s="18">
        <v>38.4934040995091</v>
      </c>
      <c r="I194" s="19">
        <f t="shared" si="29"/>
        <v>26.416759958953481</v>
      </c>
      <c r="J194" s="20">
        <f t="shared" si="30"/>
        <v>26.726790341286982</v>
      </c>
      <c r="K194" s="17">
        <f t="shared" si="32"/>
        <v>31.998020297861366</v>
      </c>
      <c r="L194" s="43">
        <f t="shared" si="31"/>
        <v>-0.13825034623888402</v>
      </c>
      <c r="M194" s="16">
        <v>59.921098432032323</v>
      </c>
      <c r="N194" s="45">
        <f t="shared" si="33"/>
        <v>-0.65439178024238442</v>
      </c>
      <c r="O194" s="51">
        <v>108139.71</v>
      </c>
      <c r="P194" s="27">
        <f t="shared" si="35"/>
        <v>274.7103010288327</v>
      </c>
      <c r="Q194" s="7" t="e">
        <v>#N/A</v>
      </c>
      <c r="R194" s="59" t="e">
        <v>#N/A</v>
      </c>
      <c r="S194" s="98">
        <v>20.989992957813101</v>
      </c>
      <c r="T194" s="67">
        <v>1</v>
      </c>
      <c r="U194" s="80">
        <v>256.51473600339</v>
      </c>
      <c r="V194" s="78">
        <f t="shared" si="36"/>
        <v>253.72030807101959</v>
      </c>
      <c r="W194" s="79">
        <f t="shared" si="37"/>
        <v>253.72030807101959</v>
      </c>
      <c r="X194" s="17">
        <f t="shared" si="38"/>
        <v>257.39858813734531</v>
      </c>
      <c r="Y194" s="43">
        <f t="shared" si="39"/>
        <v>5.1229275404198457E-2</v>
      </c>
      <c r="Z194" s="16">
        <v>251.3635217168098</v>
      </c>
      <c r="AA194" s="45">
        <f t="shared" si="40"/>
        <v>3.2525013896964827E-2</v>
      </c>
    </row>
    <row r="195" spans="1:27" x14ac:dyDescent="0.2">
      <c r="A195" s="4">
        <f t="shared" si="34"/>
        <v>45261</v>
      </c>
      <c r="B195" s="26">
        <v>21627.68</v>
      </c>
      <c r="C195" s="27">
        <f t="shared" si="28"/>
        <v>12.990839464633506</v>
      </c>
      <c r="D195" s="7" t="e">
        <v>#N/A</v>
      </c>
      <c r="E195" s="8" t="e">
        <v>#N/A</v>
      </c>
      <c r="F195" s="100">
        <v>0.842191914891668</v>
      </c>
      <c r="G195" s="13">
        <v>0</v>
      </c>
      <c r="H195" s="18">
        <v>40.209505896103103</v>
      </c>
      <c r="I195" s="19">
        <f t="shared" si="29"/>
        <v>15.425034644632667</v>
      </c>
      <c r="J195" s="20">
        <f t="shared" si="30"/>
        <v>40.209505896103103</v>
      </c>
      <c r="K195" s="17">
        <f t="shared" si="32"/>
        <v>39.458386101072648</v>
      </c>
      <c r="L195" s="43">
        <f t="shared" si="31"/>
        <v>0.20957256494589649</v>
      </c>
      <c r="M195" s="16">
        <v>59.292859300845379</v>
      </c>
      <c r="N195" s="45">
        <f t="shared" si="33"/>
        <v>-0.44397063768768341</v>
      </c>
      <c r="O195" s="51">
        <v>108663.81999999999</v>
      </c>
      <c r="P195" s="27">
        <f t="shared" si="35"/>
        <v>276.04171218087129</v>
      </c>
      <c r="Q195" s="7" t="e">
        <v>#N/A</v>
      </c>
      <c r="R195" s="59" t="e">
        <v>#N/A</v>
      </c>
      <c r="S195" s="98">
        <v>-5.3276682634918098</v>
      </c>
      <c r="T195" s="67">
        <v>0.74067495659003602</v>
      </c>
      <c r="U195" s="80">
        <v>260.705410846544</v>
      </c>
      <c r="V195" s="78">
        <f t="shared" si="36"/>
        <v>281.36938044436312</v>
      </c>
      <c r="W195" s="79">
        <f t="shared" si="37"/>
        <v>276.01069563138651</v>
      </c>
      <c r="X195" s="17">
        <f t="shared" si="38"/>
        <v>270.08567972799324</v>
      </c>
      <c r="Y195" s="43">
        <f t="shared" si="39"/>
        <v>4.8113430929937737E-2</v>
      </c>
      <c r="Z195" s="16">
        <v>252.36026834585331</v>
      </c>
      <c r="AA195" s="45">
        <f t="shared" si="40"/>
        <v>0.10002638146155118</v>
      </c>
    </row>
    <row r="196" spans="1:27" x14ac:dyDescent="0.2">
      <c r="A196" s="4">
        <f t="shared" si="34"/>
        <v>45292</v>
      </c>
      <c r="B196" s="26">
        <v>69904.540000000008</v>
      </c>
      <c r="C196" s="27">
        <f t="shared" ref="C196:C259" si="41">B196*C$2</f>
        <v>41.988722645658321</v>
      </c>
      <c r="D196" s="7" t="e">
        <v>#N/A</v>
      </c>
      <c r="E196" s="8" t="e">
        <v>#N/A</v>
      </c>
      <c r="F196" s="100">
        <v>0.82838021116298899</v>
      </c>
      <c r="G196" s="13">
        <v>1</v>
      </c>
      <c r="H196" s="18">
        <v>44.130601855222302</v>
      </c>
      <c r="I196" s="19">
        <f t="shared" ref="I196:I243" si="42">IFERROR(IF($F$2="NIV",C196-F196,C196/F196),NA())</f>
        <v>50.687742270797408</v>
      </c>
      <c r="J196" s="20">
        <f t="shared" ref="J196:J243" si="43">I196*G196+(1-G196)*H196</f>
        <v>50.687742270797408</v>
      </c>
      <c r="K196" s="17">
        <f t="shared" si="32"/>
        <v>46.906789102644503</v>
      </c>
      <c r="L196" s="43">
        <f t="shared" si="31"/>
        <v>0.17291582182194576</v>
      </c>
      <c r="M196" s="16">
        <v>58.676863165173557</v>
      </c>
      <c r="N196" s="45">
        <f t="shared" si="33"/>
        <v>-0.13186279300309256</v>
      </c>
      <c r="O196" s="51">
        <v>102957.72</v>
      </c>
      <c r="P196" s="27">
        <f t="shared" si="35"/>
        <v>261.54634827892795</v>
      </c>
      <c r="Q196" s="7" t="e">
        <v>#N/A</v>
      </c>
      <c r="R196" s="59" t="e">
        <v>#N/A</v>
      </c>
      <c r="S196" s="98">
        <v>-16.405292238955301</v>
      </c>
      <c r="T196" s="67">
        <v>0.79489375661966699</v>
      </c>
      <c r="U196" s="80">
        <v>261.61561444436302</v>
      </c>
      <c r="V196" s="78">
        <f t="shared" si="36"/>
        <v>277.95164051788328</v>
      </c>
      <c r="W196" s="79">
        <f t="shared" si="37"/>
        <v>274.60101957818034</v>
      </c>
      <c r="X196" s="17">
        <f t="shared" si="38"/>
        <v>271.47225133051506</v>
      </c>
      <c r="Y196" s="43">
        <f t="shared" si="39"/>
        <v>5.1206881215330241E-3</v>
      </c>
      <c r="Z196" s="16">
        <v>253.3614093109467</v>
      </c>
      <c r="AA196" s="45">
        <f t="shared" si="40"/>
        <v>8.4845787732024558E-2</v>
      </c>
    </row>
    <row r="197" spans="1:27" x14ac:dyDescent="0.2">
      <c r="A197" s="4">
        <f t="shared" si="34"/>
        <v>45323</v>
      </c>
      <c r="B197" s="26">
        <v>60788.639999999999</v>
      </c>
      <c r="C197" s="27">
        <f t="shared" si="41"/>
        <v>36.513184193283742</v>
      </c>
      <c r="D197" s="7" t="e">
        <v>#N/A</v>
      </c>
      <c r="E197" s="8" t="e">
        <v>#N/A</v>
      </c>
      <c r="F197" s="100">
        <v>0.79303793428812297</v>
      </c>
      <c r="G197" s="13">
        <v>1</v>
      </c>
      <c r="H197" s="18">
        <v>50.201108004085</v>
      </c>
      <c r="I197" s="19">
        <f t="shared" si="42"/>
        <v>46.042165972880099</v>
      </c>
      <c r="J197" s="20">
        <f t="shared" si="43"/>
        <v>46.042165972880099</v>
      </c>
      <c r="K197" s="17">
        <f t="shared" si="32"/>
        <v>50.381308799178996</v>
      </c>
      <c r="L197" s="43">
        <f t="shared" ref="L197:L243" si="44">LN(K197/K196)</f>
        <v>7.1457827171677507E-2</v>
      </c>
      <c r="M197" s="16">
        <v>58.072668688284573</v>
      </c>
      <c r="N197" s="45">
        <f t="shared" si="33"/>
        <v>1.9013519050323335E-2</v>
      </c>
      <c r="O197" s="51">
        <v>72547.830000000016</v>
      </c>
      <c r="P197" s="27">
        <f t="shared" si="35"/>
        <v>184.29526228883529</v>
      </c>
      <c r="Q197" s="7" t="e">
        <v>#N/A</v>
      </c>
      <c r="R197" s="59" t="e">
        <v>#N/A</v>
      </c>
      <c r="S197" s="98">
        <v>-39.527585188466503</v>
      </c>
      <c r="T197" s="67">
        <v>0</v>
      </c>
      <c r="U197" s="80">
        <v>260.67627053431301</v>
      </c>
      <c r="V197" s="78">
        <f t="shared" si="36"/>
        <v>223.82284747730179</v>
      </c>
      <c r="W197" s="79">
        <f t="shared" si="37"/>
        <v>260.67627053431301</v>
      </c>
      <c r="X197" s="17">
        <f t="shared" si="38"/>
        <v>259.66370967223662</v>
      </c>
      <c r="Y197" s="43">
        <f t="shared" si="39"/>
        <v>-4.447255962381455E-2</v>
      </c>
      <c r="Z197" s="16">
        <v>254.36639558847921</v>
      </c>
      <c r="AA197" s="45">
        <f t="shared" si="40"/>
        <v>5.5941739304404825E-2</v>
      </c>
    </row>
    <row r="198" spans="1:27" x14ac:dyDescent="0.2">
      <c r="A198" s="4">
        <f t="shared" si="34"/>
        <v>45352</v>
      </c>
      <c r="B198" s="26">
        <v>100482.88999999998</v>
      </c>
      <c r="C198" s="27">
        <f t="shared" si="41"/>
        <v>60.355853837879387</v>
      </c>
      <c r="D198" s="7" t="e">
        <v>#N/A</v>
      </c>
      <c r="E198" s="8" t="e">
        <v>#N/A</v>
      </c>
      <c r="F198" s="100">
        <v>1.0272784107439299</v>
      </c>
      <c r="G198" s="13">
        <v>1</v>
      </c>
      <c r="H198" s="18">
        <v>57.124278748403903</v>
      </c>
      <c r="I198" s="19">
        <f t="shared" si="42"/>
        <v>58.753160980158391</v>
      </c>
      <c r="J198" s="20">
        <f t="shared" si="43"/>
        <v>58.753160980158391</v>
      </c>
      <c r="K198" s="17">
        <f t="shared" si="32"/>
        <v>57.876206182523731</v>
      </c>
      <c r="L198" s="43">
        <f t="shared" si="44"/>
        <v>0.13868610422228769</v>
      </c>
      <c r="M198" s="16">
        <v>57.479743714976131</v>
      </c>
      <c r="N198" s="45">
        <f t="shared" si="33"/>
        <v>8.5278300456835154E-2</v>
      </c>
      <c r="O198" s="51">
        <v>77717.900000000009</v>
      </c>
      <c r="P198" s="27">
        <f t="shared" si="35"/>
        <v>197.42893433252891</v>
      </c>
      <c r="Q198" s="7" t="e">
        <v>#N/A</v>
      </c>
      <c r="R198" s="59" t="e">
        <v>#N/A</v>
      </c>
      <c r="S198" s="98">
        <v>-42.501642851324803</v>
      </c>
      <c r="T198" s="67">
        <v>0.85529058360867805</v>
      </c>
      <c r="U198" s="80">
        <v>259.07722933255599</v>
      </c>
      <c r="V198" s="78">
        <f t="shared" si="36"/>
        <v>239.9305771838537</v>
      </c>
      <c r="W198" s="79">
        <f t="shared" si="37"/>
        <v>242.70127804214005</v>
      </c>
      <c r="X198" s="17">
        <f t="shared" si="38"/>
        <v>248.32054889383068</v>
      </c>
      <c r="Y198" s="43">
        <f t="shared" si="39"/>
        <v>-4.466692206092153E-2</v>
      </c>
      <c r="Z198" s="16">
        <v>255.37481789899019</v>
      </c>
      <c r="AA198" s="45">
        <f t="shared" si="40"/>
        <v>9.4896255641943039E-3</v>
      </c>
    </row>
    <row r="199" spans="1:27" x14ac:dyDescent="0.2">
      <c r="A199" s="4">
        <f t="shared" si="34"/>
        <v>45383</v>
      </c>
      <c r="B199" s="26">
        <v>121657.58</v>
      </c>
      <c r="C199" s="27">
        <f t="shared" si="41"/>
        <v>73.074601225642695</v>
      </c>
      <c r="D199" s="7" t="e">
        <v>#N/A</v>
      </c>
      <c r="E199" s="8" t="e">
        <v>#N/A</v>
      </c>
      <c r="F199" s="100">
        <v>1.0753169560042899</v>
      </c>
      <c r="G199" s="13">
        <v>1</v>
      </c>
      <c r="H199" s="18">
        <v>62.657628057753698</v>
      </c>
      <c r="I199" s="19">
        <f t="shared" si="42"/>
        <v>67.956336796898015</v>
      </c>
      <c r="J199" s="20">
        <f t="shared" si="43"/>
        <v>67.956336796898015</v>
      </c>
      <c r="K199" s="17">
        <f t="shared" ref="K199:K225" si="45">IFERROR((J198+2*J199+J200)/4,(J198+J199*2)/3)</f>
        <v>63.710971480283405</v>
      </c>
      <c r="L199" s="43">
        <f t="shared" si="44"/>
        <v>9.6050431130275615E-2</v>
      </c>
      <c r="M199" s="16">
        <v>56.89749674313137</v>
      </c>
      <c r="N199" s="45">
        <f t="shared" si="33"/>
        <v>0.20021849236262335</v>
      </c>
      <c r="O199" s="51">
        <v>73518.5</v>
      </c>
      <c r="P199" s="27">
        <f t="shared" si="35"/>
        <v>186.76108217960117</v>
      </c>
      <c r="Q199" s="7" t="e">
        <v>#N/A</v>
      </c>
      <c r="R199" s="59" t="e">
        <v>#N/A</v>
      </c>
      <c r="S199" s="98">
        <v>-60.442286777128402</v>
      </c>
      <c r="T199" s="67">
        <v>1</v>
      </c>
      <c r="U199" s="80">
        <v>258.73999056888999</v>
      </c>
      <c r="V199" s="78">
        <f t="shared" si="36"/>
        <v>247.20336895672958</v>
      </c>
      <c r="W199" s="79">
        <f t="shared" si="37"/>
        <v>247.20336895672958</v>
      </c>
      <c r="X199" s="17">
        <f t="shared" si="38"/>
        <v>251.84266214369265</v>
      </c>
      <c r="Y199" s="43">
        <f t="shared" si="39"/>
        <v>1.4084088525223892E-2</v>
      </c>
      <c r="Z199" s="16">
        <v>256.38630783735692</v>
      </c>
      <c r="AA199" s="45">
        <f t="shared" si="40"/>
        <v>1.1531327161204086E-2</v>
      </c>
    </row>
    <row r="200" spans="1:27" x14ac:dyDescent="0.2">
      <c r="A200" s="4">
        <f t="shared" si="34"/>
        <v>45413</v>
      </c>
      <c r="B200" s="26">
        <v>109716.53999999996</v>
      </c>
      <c r="C200" s="27">
        <f t="shared" si="41"/>
        <v>65.902119772210426</v>
      </c>
      <c r="D200" s="7" t="e">
        <v>#N/A</v>
      </c>
      <c r="E200" s="8" t="e">
        <v>#N/A</v>
      </c>
      <c r="F200" s="100">
        <v>1.0951188730257799</v>
      </c>
      <c r="G200" s="13">
        <v>1</v>
      </c>
      <c r="H200" s="18">
        <v>65.033858889355599</v>
      </c>
      <c r="I200" s="19">
        <f t="shared" si="42"/>
        <v>60.17805134717922</v>
      </c>
      <c r="J200" s="20">
        <f t="shared" si="43"/>
        <v>60.17805134717922</v>
      </c>
      <c r="K200" s="17">
        <f t="shared" si="45"/>
        <v>62.744370785349041</v>
      </c>
      <c r="L200" s="43">
        <f t="shared" si="44"/>
        <v>-1.5287919098395502E-2</v>
      </c>
      <c r="M200" s="16">
        <v>56.325339329757632</v>
      </c>
      <c r="N200" s="45">
        <f t="shared" si="33"/>
        <v>0.39081849192887153</v>
      </c>
      <c r="O200" s="51">
        <v>95399</v>
      </c>
      <c r="P200" s="27">
        <f t="shared" si="35"/>
        <v>242.34472246919853</v>
      </c>
      <c r="Q200" s="7" t="e">
        <v>#N/A</v>
      </c>
      <c r="R200" s="59" t="e">
        <v>#N/A</v>
      </c>
      <c r="S200" s="98">
        <v>-27.917910149972901</v>
      </c>
      <c r="T200" s="67">
        <v>1</v>
      </c>
      <c r="U200" s="80">
        <v>260.41179156362398</v>
      </c>
      <c r="V200" s="78">
        <f t="shared" si="36"/>
        <v>270.26263261917143</v>
      </c>
      <c r="W200" s="79">
        <f t="shared" si="37"/>
        <v>270.26263261917143</v>
      </c>
      <c r="X200" s="17">
        <f t="shared" si="38"/>
        <v>265.86296351241117</v>
      </c>
      <c r="Y200" s="43">
        <f t="shared" si="39"/>
        <v>5.4176465321170771E-2</v>
      </c>
      <c r="Z200" s="16">
        <v>257.40044256736809</v>
      </c>
      <c r="AA200" s="45">
        <f t="shared" si="40"/>
        <v>0.11018653109007981</v>
      </c>
    </row>
    <row r="201" spans="1:27" s="6" customFormat="1" x14ac:dyDescent="0.2">
      <c r="A201" s="5">
        <f t="shared" si="34"/>
        <v>45444</v>
      </c>
      <c r="B201" s="28">
        <v>123483.22</v>
      </c>
      <c r="C201" s="29">
        <f t="shared" si="41"/>
        <v>74.171186534848928</v>
      </c>
      <c r="D201" s="9" t="e">
        <v>#N/A</v>
      </c>
      <c r="E201" s="10" t="e">
        <v>#N/A</v>
      </c>
      <c r="F201" s="101">
        <v>1.1836134184945</v>
      </c>
      <c r="G201" s="14">
        <v>1</v>
      </c>
      <c r="H201" s="21">
        <v>64.378794977336597</v>
      </c>
      <c r="I201" s="22">
        <f t="shared" si="42"/>
        <v>62.665043650139715</v>
      </c>
      <c r="J201" s="23">
        <f t="shared" si="43"/>
        <v>62.665043650139715</v>
      </c>
      <c r="K201" s="17">
        <f t="shared" si="45"/>
        <v>65.445310322865112</v>
      </c>
      <c r="L201" s="44">
        <f t="shared" si="44"/>
        <v>4.2145971579895448E-2</v>
      </c>
      <c r="M201" s="16">
        <v>55.762735604971297</v>
      </c>
      <c r="N201" s="45">
        <f t="shared" si="33"/>
        <v>0.72846612514246756</v>
      </c>
      <c r="O201" s="52">
        <v>116964</v>
      </c>
      <c r="P201" s="29">
        <f t="shared" si="35"/>
        <v>297.12688936872854</v>
      </c>
      <c r="Q201" s="9" t="e">
        <v>#N/A</v>
      </c>
      <c r="R201" s="60" t="e">
        <v>#N/A</v>
      </c>
      <c r="S201" s="99">
        <v>12.639112123161601</v>
      </c>
      <c r="T201" s="68">
        <v>0.58793246281174705</v>
      </c>
      <c r="U201" s="81">
        <v>263.21806633652602</v>
      </c>
      <c r="V201" s="82">
        <f t="shared" si="36"/>
        <v>284.48777724556692</v>
      </c>
      <c r="W201" s="83">
        <f t="shared" si="37"/>
        <v>275.72321985457233</v>
      </c>
      <c r="X201" s="17">
        <f t="shared" si="38"/>
        <v>271.11913262109999</v>
      </c>
      <c r="Y201" s="44">
        <f t="shared" si="39"/>
        <v>1.9577326781956027E-2</v>
      </c>
      <c r="Z201" s="16">
        <v>258.4167641938181</v>
      </c>
      <c r="AA201" s="45">
        <f t="shared" si="40"/>
        <v>0.16950327548043886</v>
      </c>
    </row>
    <row r="202" spans="1:27" x14ac:dyDescent="0.2">
      <c r="A202" s="4">
        <f t="shared" si="34"/>
        <v>45474</v>
      </c>
      <c r="B202" s="26">
        <v>158400.20000000001</v>
      </c>
      <c r="C202" s="27">
        <f t="shared" si="41"/>
        <v>95.144350636121871</v>
      </c>
      <c r="D202" s="7" t="e">
        <v>#N/A</v>
      </c>
      <c r="E202" s="8" t="e">
        <v>#N/A</v>
      </c>
      <c r="F202" s="100">
        <v>1.2474168132401799</v>
      </c>
      <c r="G202" s="13">
        <v>1</v>
      </c>
      <c r="H202" s="18">
        <v>61.904874881831098</v>
      </c>
      <c r="I202" s="19">
        <f t="shared" si="42"/>
        <v>76.273102644001796</v>
      </c>
      <c r="J202" s="20">
        <f t="shared" si="43"/>
        <v>76.273102644001796</v>
      </c>
      <c r="K202" s="17">
        <f t="shared" si="45"/>
        <v>68.277922321536948</v>
      </c>
      <c r="L202" s="43">
        <f t="shared" si="44"/>
        <v>4.2371631695572107E-2</v>
      </c>
      <c r="M202" s="16">
        <v>55.209199228451077</v>
      </c>
      <c r="N202" s="45">
        <f t="shared" si="33"/>
        <v>0.67137992304733229</v>
      </c>
      <c r="O202" s="51">
        <v>121475.73000000001</v>
      </c>
      <c r="P202" s="27">
        <f t="shared" si="35"/>
        <v>308.58816207290744</v>
      </c>
      <c r="Q202" s="7" t="e">
        <v>#N/A</v>
      </c>
      <c r="R202" s="59" t="e">
        <v>#N/A</v>
      </c>
      <c r="S202" s="98">
        <v>45.820703916823597</v>
      </c>
      <c r="T202" s="67">
        <v>1</v>
      </c>
      <c r="U202" s="80">
        <v>265.233554075489</v>
      </c>
      <c r="V202" s="78">
        <f t="shared" si="36"/>
        <v>262.76745815608382</v>
      </c>
      <c r="W202" s="79">
        <f t="shared" si="37"/>
        <v>262.76745815608382</v>
      </c>
      <c r="X202" s="17">
        <f t="shared" si="38"/>
        <v>264.93600608446962</v>
      </c>
      <c r="Y202" s="43">
        <f t="shared" si="39"/>
        <v>-2.3070017700200729E-2</v>
      </c>
      <c r="Z202" s="16">
        <v>259.43488011873092</v>
      </c>
      <c r="AA202" s="45">
        <f t="shared" si="40"/>
        <v>0.12823254444513399</v>
      </c>
    </row>
    <row r="203" spans="1:27" x14ac:dyDescent="0.2">
      <c r="A203" s="4">
        <f t="shared" si="34"/>
        <v>45505</v>
      </c>
      <c r="B203" s="26">
        <v>106992.36</v>
      </c>
      <c r="C203" s="27">
        <f t="shared" si="41"/>
        <v>64.265819204939007</v>
      </c>
      <c r="D203" s="7" t="e">
        <v>#N/A</v>
      </c>
      <c r="E203" s="8" t="e">
        <v>#N/A</v>
      </c>
      <c r="F203" s="100">
        <v>1.10993662256584</v>
      </c>
      <c r="G203" s="13">
        <v>1</v>
      </c>
      <c r="H203" s="18">
        <v>58.586392406229102</v>
      </c>
      <c r="I203" s="19">
        <f t="shared" si="42"/>
        <v>57.900440348004501</v>
      </c>
      <c r="J203" s="20">
        <f t="shared" si="43"/>
        <v>57.900440348004501</v>
      </c>
      <c r="K203" s="17">
        <f t="shared" si="45"/>
        <v>58.25487292769801</v>
      </c>
      <c r="L203" s="43">
        <f t="shared" si="44"/>
        <v>-0.15875872430527257</v>
      </c>
      <c r="M203" s="16">
        <v>54.664318571099621</v>
      </c>
      <c r="N203" s="45">
        <f t="shared" si="33"/>
        <v>0.21092127329735044</v>
      </c>
      <c r="O203" s="51">
        <v>123180.39</v>
      </c>
      <c r="P203" s="27">
        <f t="shared" si="35"/>
        <v>312.9185570938651</v>
      </c>
      <c r="Q203" s="7" t="e">
        <v>#N/A</v>
      </c>
      <c r="R203" s="59" t="e">
        <v>#N/A</v>
      </c>
      <c r="S203" s="98">
        <v>54.432668922726499</v>
      </c>
      <c r="T203" s="67">
        <v>1</v>
      </c>
      <c r="U203" s="80">
        <v>265.02252597435802</v>
      </c>
      <c r="V203" s="78">
        <f t="shared" si="36"/>
        <v>258.48588817113858</v>
      </c>
      <c r="W203" s="79">
        <f t="shared" si="37"/>
        <v>258.48588817113858</v>
      </c>
      <c r="X203" s="17">
        <f t="shared" si="38"/>
        <v>261.91156608026199</v>
      </c>
      <c r="Y203" s="43">
        <f t="shared" si="39"/>
        <v>-1.1481397611111185E-2</v>
      </c>
      <c r="Z203" s="16">
        <v>260.45449575623229</v>
      </c>
      <c r="AA203" s="45">
        <f t="shared" si="40"/>
        <v>0.1146464986215876</v>
      </c>
    </row>
    <row r="204" spans="1:27" x14ac:dyDescent="0.2">
      <c r="A204" s="4">
        <f t="shared" si="34"/>
        <v>45536</v>
      </c>
      <c r="B204" s="26">
        <v>71382.269999999975</v>
      </c>
      <c r="C204" s="27">
        <f t="shared" si="41"/>
        <v>42.876333022826486</v>
      </c>
      <c r="D204" s="7" t="e">
        <v>#N/A</v>
      </c>
      <c r="E204" s="8" t="e">
        <v>#N/A</v>
      </c>
      <c r="F204" s="100">
        <v>1.0471559574877101</v>
      </c>
      <c r="G204" s="13">
        <v>1</v>
      </c>
      <c r="H204" s="18">
        <v>55.517110983102498</v>
      </c>
      <c r="I204" s="19">
        <f t="shared" si="42"/>
        <v>40.945508370781248</v>
      </c>
      <c r="J204" s="20">
        <f t="shared" si="43"/>
        <v>40.945508370781248</v>
      </c>
      <c r="K204" s="17">
        <f t="shared" si="45"/>
        <v>46.966303836898163</v>
      </c>
      <c r="L204" s="43">
        <f t="shared" si="44"/>
        <v>-0.21539733941254821</v>
      </c>
      <c r="M204" s="16">
        <v>54.127782842733922</v>
      </c>
      <c r="N204" s="45">
        <f t="shared" si="33"/>
        <v>1.2160437688648607E-3</v>
      </c>
      <c r="O204" s="51">
        <v>118664.67000000001</v>
      </c>
      <c r="P204" s="27">
        <f t="shared" si="35"/>
        <v>301.4471484821542</v>
      </c>
      <c r="Q204" s="7" t="e">
        <v>#N/A</v>
      </c>
      <c r="R204" s="59" t="e">
        <v>#N/A</v>
      </c>
      <c r="S204" s="98">
        <v>33.540118659467304</v>
      </c>
      <c r="T204" s="67">
        <v>1</v>
      </c>
      <c r="U204" s="80">
        <v>262.85363529835598</v>
      </c>
      <c r="V204" s="78">
        <f t="shared" si="36"/>
        <v>267.90702982268692</v>
      </c>
      <c r="W204" s="79">
        <f t="shared" si="37"/>
        <v>267.90702982268692</v>
      </c>
      <c r="X204" s="17">
        <f t="shared" si="38"/>
        <v>263.58708388741348</v>
      </c>
      <c r="Y204" s="43">
        <f t="shared" si="39"/>
        <v>6.3768897793477245E-3</v>
      </c>
      <c r="Z204" s="16">
        <v>261.47535896740789</v>
      </c>
      <c r="AA204" s="45">
        <f t="shared" si="40"/>
        <v>0.11703941413512853</v>
      </c>
    </row>
    <row r="205" spans="1:27" x14ac:dyDescent="0.2">
      <c r="A205" s="4">
        <f t="shared" si="34"/>
        <v>45566</v>
      </c>
      <c r="B205" s="26">
        <v>78915.23</v>
      </c>
      <c r="C205" s="27">
        <f t="shared" si="41"/>
        <v>47.401065867658012</v>
      </c>
      <c r="D205" s="7" t="e">
        <v>#N/A</v>
      </c>
      <c r="E205" s="8" t="e">
        <v>#N/A</v>
      </c>
      <c r="F205" s="100">
        <v>0.98600707715096603</v>
      </c>
      <c r="G205" s="13">
        <v>1</v>
      </c>
      <c r="H205" s="18">
        <v>53.584350453797903</v>
      </c>
      <c r="I205" s="19">
        <f t="shared" si="42"/>
        <v>48.073758258025677</v>
      </c>
      <c r="J205" s="20">
        <f t="shared" si="43"/>
        <v>48.073758258025677</v>
      </c>
      <c r="K205" s="17">
        <f t="shared" si="45"/>
        <v>49.655244416948172</v>
      </c>
      <c r="L205" s="43">
        <f t="shared" si="44"/>
        <v>5.5673607700592841E-2</v>
      </c>
      <c r="M205" s="16">
        <v>53.599308958065571</v>
      </c>
      <c r="N205" s="45">
        <f t="shared" si="33"/>
        <v>0.35145208271240436</v>
      </c>
      <c r="O205" s="51">
        <v>113364.03</v>
      </c>
      <c r="P205" s="27">
        <f t="shared" si="35"/>
        <v>287.98178585037471</v>
      </c>
      <c r="Q205" s="7" t="e">
        <v>#N/A</v>
      </c>
      <c r="R205" s="59" t="e">
        <v>#N/A</v>
      </c>
      <c r="S205" s="98">
        <v>27.933398117233299</v>
      </c>
      <c r="T205" s="67">
        <v>1</v>
      </c>
      <c r="U205" s="80">
        <v>260.573924740476</v>
      </c>
      <c r="V205" s="78">
        <f t="shared" si="36"/>
        <v>260.0483877331414</v>
      </c>
      <c r="W205" s="79">
        <f t="shared" si="37"/>
        <v>260.0483877331414</v>
      </c>
      <c r="X205" s="17">
        <f t="shared" si="38"/>
        <v>262.09177875420818</v>
      </c>
      <c r="Y205" s="43">
        <f t="shared" si="39"/>
        <v>-5.689059509454533E-3</v>
      </c>
      <c r="Z205" s="16">
        <v>262.49722885617001</v>
      </c>
      <c r="AA205" s="45">
        <f t="shared" si="40"/>
        <v>7.1755768026029454E-2</v>
      </c>
    </row>
    <row r="206" spans="1:27" x14ac:dyDescent="0.2">
      <c r="A206" s="4">
        <f t="shared" si="34"/>
        <v>45597</v>
      </c>
      <c r="B206" s="26">
        <v>77239.37999999999</v>
      </c>
      <c r="C206" s="27">
        <f t="shared" si="41"/>
        <v>46.394453123396673</v>
      </c>
      <c r="D206" s="7" t="e">
        <v>#N/A</v>
      </c>
      <c r="E206" s="8" t="e">
        <v>#N/A</v>
      </c>
      <c r="F206" s="100">
        <v>0.75403862840295099</v>
      </c>
      <c r="G206" s="13">
        <v>1</v>
      </c>
      <c r="H206" s="18">
        <v>52.352422807953097</v>
      </c>
      <c r="I206" s="19">
        <f t="shared" si="42"/>
        <v>61.527952780960078</v>
      </c>
      <c r="J206" s="20">
        <f t="shared" si="43"/>
        <v>61.527952780960078</v>
      </c>
      <c r="K206" s="17">
        <f t="shared" si="45"/>
        <v>57.241538031572645</v>
      </c>
      <c r="L206" s="43">
        <f t="shared" si="44"/>
        <v>0.14217581155493703</v>
      </c>
      <c r="M206" s="16">
        <v>53.078558573479512</v>
      </c>
      <c r="N206" s="45">
        <f t="shared" si="33"/>
        <v>0.78890873556319563</v>
      </c>
      <c r="O206" s="51">
        <v>93813.580000000016</v>
      </c>
      <c r="P206" s="27">
        <f t="shared" si="35"/>
        <v>238.31723612345996</v>
      </c>
      <c r="Q206" s="7" t="e">
        <v>#N/A</v>
      </c>
      <c r="R206" s="59" t="e">
        <v>#N/A</v>
      </c>
      <c r="S206" s="98">
        <v>17.8284890009338</v>
      </c>
      <c r="T206" s="67">
        <v>0</v>
      </c>
      <c r="U206" s="80">
        <v>260.363309727863</v>
      </c>
      <c r="V206" s="78">
        <f t="shared" si="36"/>
        <v>220.48874712252615</v>
      </c>
      <c r="W206" s="79">
        <f t="shared" si="37"/>
        <v>260.363309727863</v>
      </c>
      <c r="X206" s="17">
        <f t="shared" si="38"/>
        <v>259.61806827577573</v>
      </c>
      <c r="Y206" s="43">
        <f t="shared" si="39"/>
        <v>-9.4831601548376436E-3</v>
      </c>
      <c r="Z206" s="16">
        <v>263.51988082060433</v>
      </c>
      <c r="AA206" s="45">
        <f t="shared" si="40"/>
        <v>8.6227362569919475E-3</v>
      </c>
    </row>
    <row r="207" spans="1:27" x14ac:dyDescent="0.2">
      <c r="A207" s="4">
        <f t="shared" si="34"/>
        <v>45627</v>
      </c>
      <c r="B207" s="26">
        <v>83733.73000000001</v>
      </c>
      <c r="C207" s="27">
        <f t="shared" si="41"/>
        <v>50.295336541180866</v>
      </c>
      <c r="D207" s="7" t="e">
        <v>#N/A</v>
      </c>
      <c r="E207" s="8" t="e">
        <v>#N/A</v>
      </c>
      <c r="F207" s="100">
        <v>0.86961255798899195</v>
      </c>
      <c r="G207" s="13">
        <v>1</v>
      </c>
      <c r="H207" s="18">
        <v>50.965622445402303</v>
      </c>
      <c r="I207" s="19">
        <f t="shared" si="42"/>
        <v>57.836488306344734</v>
      </c>
      <c r="J207" s="20">
        <f t="shared" si="43"/>
        <v>57.836488306344734</v>
      </c>
      <c r="K207" s="17">
        <f t="shared" si="45"/>
        <v>55.561618625628512</v>
      </c>
      <c r="L207" s="43">
        <f t="shared" si="44"/>
        <v>-2.9787173808531315E-2</v>
      </c>
      <c r="M207" s="16">
        <v>52.565162912764748</v>
      </c>
      <c r="N207" s="45">
        <f t="shared" si="33"/>
        <v>0.40810671990758651</v>
      </c>
      <c r="O207" s="51">
        <v>97914.01</v>
      </c>
      <c r="P207" s="27">
        <f t="shared" si="35"/>
        <v>248.73367204369362</v>
      </c>
      <c r="Q207" s="7" t="e">
        <v>#N/A</v>
      </c>
      <c r="R207" s="59" t="e">
        <v>#N/A</v>
      </c>
      <c r="S207" s="98">
        <v>-8.9635938705418106</v>
      </c>
      <c r="T207" s="67">
        <v>1</v>
      </c>
      <c r="U207" s="80">
        <v>262.86167471827798</v>
      </c>
      <c r="V207" s="78">
        <f t="shared" si="36"/>
        <v>257.6972659142354</v>
      </c>
      <c r="W207" s="79">
        <f t="shared" si="37"/>
        <v>257.6972659142354</v>
      </c>
      <c r="X207" s="17">
        <f t="shared" si="38"/>
        <v>261.17545409707554</v>
      </c>
      <c r="Y207" s="43">
        <f t="shared" si="39"/>
        <v>5.980836537910361E-3</v>
      </c>
      <c r="Z207" s="16">
        <v>264.5430871303239</v>
      </c>
      <c r="AA207" s="45">
        <f t="shared" si="40"/>
        <v>-3.2990366760249135E-2</v>
      </c>
    </row>
    <row r="208" spans="1:27" x14ac:dyDescent="0.2">
      <c r="A208" s="4">
        <f t="shared" si="34"/>
        <v>45658</v>
      </c>
      <c r="B208" s="26">
        <v>66538.240000000005</v>
      </c>
      <c r="C208" s="27">
        <f t="shared" si="41"/>
        <v>39.966727550031059</v>
      </c>
      <c r="D208" s="7" t="e">
        <v>#N/A</v>
      </c>
      <c r="E208" s="8" t="e">
        <v>#N/A</v>
      </c>
      <c r="F208" s="100">
        <v>0.88725150186196799</v>
      </c>
      <c r="G208" s="13">
        <v>1</v>
      </c>
      <c r="H208" s="18">
        <v>49.131876393546698</v>
      </c>
      <c r="I208" s="19">
        <f t="shared" si="42"/>
        <v>45.045545108864509</v>
      </c>
      <c r="J208" s="20">
        <f t="shared" si="43"/>
        <v>45.045545108864509</v>
      </c>
      <c r="K208" s="17">
        <f t="shared" si="45"/>
        <v>49.165101672682276</v>
      </c>
      <c r="L208" s="43">
        <f t="shared" si="44"/>
        <v>-0.12230859417342209</v>
      </c>
      <c r="M208" s="16">
        <v>52.058785321465407</v>
      </c>
      <c r="N208" s="45">
        <f t="shared" ref="N208:N271" si="46">(K208/K196)-1</f>
        <v>4.8144684665923032E-2</v>
      </c>
      <c r="O208" s="51">
        <v>99412.73</v>
      </c>
      <c r="P208" s="27">
        <f t="shared" si="35"/>
        <v>252.5409119776451</v>
      </c>
      <c r="Q208" s="7" t="e">
        <v>#N/A</v>
      </c>
      <c r="R208" s="59" t="e">
        <v>#N/A</v>
      </c>
      <c r="S208" s="98">
        <v>-16.403062854323299</v>
      </c>
      <c r="T208" s="67">
        <v>1</v>
      </c>
      <c r="U208" s="80">
        <v>267.14782915874503</v>
      </c>
      <c r="V208" s="78">
        <f t="shared" si="36"/>
        <v>268.94397483196838</v>
      </c>
      <c r="W208" s="79">
        <f t="shared" si="37"/>
        <v>268.94397483196838</v>
      </c>
      <c r="X208" s="17">
        <f t="shared" si="38"/>
        <v>265.55080633339554</v>
      </c>
      <c r="Y208" s="43">
        <f t="shared" si="39"/>
        <v>1.6613763937406399E-2</v>
      </c>
      <c r="Z208" s="16">
        <v>265.56658994836329</v>
      </c>
      <c r="AA208" s="45">
        <f t="shared" si="40"/>
        <v>-2.1812339817781967E-2</v>
      </c>
    </row>
    <row r="209" spans="1:27" x14ac:dyDescent="0.2">
      <c r="A209" s="4">
        <f t="shared" si="34"/>
        <v>45689</v>
      </c>
      <c r="B209" s="26">
        <v>64095.18</v>
      </c>
      <c r="C209" s="27">
        <f t="shared" si="41"/>
        <v>38.499283965584297</v>
      </c>
      <c r="D209" s="7" t="e">
        <v>#N/A</v>
      </c>
      <c r="E209" s="8" t="e">
        <v>#N/A</v>
      </c>
      <c r="F209" s="100">
        <v>0.79000717614675198</v>
      </c>
      <c r="G209" s="13">
        <v>1</v>
      </c>
      <c r="H209" s="18">
        <v>46.7553682625121</v>
      </c>
      <c r="I209" s="19">
        <f t="shared" si="42"/>
        <v>48.732828166655359</v>
      </c>
      <c r="J209" s="20">
        <f t="shared" si="43"/>
        <v>48.732828166655359</v>
      </c>
      <c r="K209" s="17">
        <f t="shared" si="45"/>
        <v>46.426261489719558</v>
      </c>
      <c r="L209" s="43">
        <f t="shared" si="44"/>
        <v>-5.7318776711435294E-2</v>
      </c>
      <c r="M209" s="16">
        <v>51.559112265924973</v>
      </c>
      <c r="N209" s="45">
        <f t="shared" si="46"/>
        <v>-7.850227403230714E-2</v>
      </c>
      <c r="O209" s="51">
        <v>89746.080000000016</v>
      </c>
      <c r="P209" s="27">
        <f t="shared" si="35"/>
        <v>227.98445319446213</v>
      </c>
      <c r="Q209" s="7" t="e">
        <v>#N/A</v>
      </c>
      <c r="R209" s="59" t="e">
        <v>#N/A</v>
      </c>
      <c r="S209" s="98">
        <v>-38.633556560947902</v>
      </c>
      <c r="T209" s="67">
        <v>1</v>
      </c>
      <c r="U209" s="80">
        <v>271.83993875618199</v>
      </c>
      <c r="V209" s="78">
        <f t="shared" si="36"/>
        <v>266.61800975541001</v>
      </c>
      <c r="W209" s="79">
        <f t="shared" si="37"/>
        <v>266.61800975541001</v>
      </c>
      <c r="X209" s="17">
        <f t="shared" si="38"/>
        <v>270.9241420985295</v>
      </c>
      <c r="Y209" s="43">
        <f t="shared" si="39"/>
        <v>2.0032679910376348E-2</v>
      </c>
      <c r="Z209" s="16">
        <v>266.59010545293438</v>
      </c>
      <c r="AA209" s="45">
        <f t="shared" si="40"/>
        <v>4.3365445408241721E-2</v>
      </c>
    </row>
    <row r="210" spans="1:27" x14ac:dyDescent="0.2">
      <c r="A210" s="4">
        <f t="shared" si="34"/>
        <v>45717</v>
      </c>
      <c r="B210" s="26">
        <v>69635.56</v>
      </c>
      <c r="C210" s="27">
        <f t="shared" si="41"/>
        <v>41.827157651206896</v>
      </c>
      <c r="D210" s="7" t="e">
        <v>#N/A</v>
      </c>
      <c r="E210" s="8" t="e">
        <v>#N/A</v>
      </c>
      <c r="F210" s="100">
        <v>0.96835922153288301</v>
      </c>
      <c r="G210" s="13">
        <v>1</v>
      </c>
      <c r="H210" s="18">
        <v>44.258431737064903</v>
      </c>
      <c r="I210" s="19">
        <f t="shared" si="42"/>
        <v>43.193844516702988</v>
      </c>
      <c r="J210" s="20">
        <f t="shared" si="43"/>
        <v>43.193844516702988</v>
      </c>
      <c r="K210" s="17">
        <f t="shared" si="45"/>
        <v>43.142173488490471</v>
      </c>
      <c r="L210" s="43">
        <f t="shared" si="44"/>
        <v>-7.3364257606873512E-2</v>
      </c>
      <c r="M210" s="16">
        <v>51.06580788468176</v>
      </c>
      <c r="N210" s="45">
        <f t="shared" si="46"/>
        <v>-0.25457841254429603</v>
      </c>
      <c r="O210" s="51">
        <v>94684.82</v>
      </c>
      <c r="P210" s="27">
        <f t="shared" si="35"/>
        <v>240.53047123078878</v>
      </c>
      <c r="Q210" s="7" t="e">
        <v>#N/A</v>
      </c>
      <c r="R210" s="59" t="e">
        <v>#N/A</v>
      </c>
      <c r="S210" s="98">
        <v>-40.986102820540701</v>
      </c>
      <c r="T210" s="67">
        <v>1</v>
      </c>
      <c r="U210" s="80">
        <v>276.55747683847699</v>
      </c>
      <c r="V210" s="78">
        <f t="shared" si="36"/>
        <v>281.51657405132948</v>
      </c>
      <c r="W210" s="79">
        <f t="shared" si="37"/>
        <v>281.51657405132948</v>
      </c>
      <c r="X210" s="17">
        <f t="shared" si="38"/>
        <v>279.34029031081445</v>
      </c>
      <c r="Y210" s="43">
        <f t="shared" si="39"/>
        <v>3.0591853911533198E-2</v>
      </c>
      <c r="Z210" s="16">
        <v>267.61334970046192</v>
      </c>
      <c r="AA210" s="45">
        <f t="shared" si="40"/>
        <v>0.12491814131035217</v>
      </c>
    </row>
    <row r="211" spans="1:27" x14ac:dyDescent="0.2">
      <c r="A211" s="4">
        <f t="shared" si="34"/>
        <v>45748</v>
      </c>
      <c r="B211" s="26">
        <v>65742.52</v>
      </c>
      <c r="C211" s="27">
        <f t="shared" si="41"/>
        <v>39.488771949670863</v>
      </c>
      <c r="D211" s="7" t="e">
        <v>#N/A</v>
      </c>
      <c r="E211" s="8" t="e">
        <v>#N/A</v>
      </c>
      <c r="F211" s="100">
        <v>1.0544911761440501</v>
      </c>
      <c r="G211" s="13">
        <v>1</v>
      </c>
      <c r="H211" s="18">
        <v>43.3451837068353</v>
      </c>
      <c r="I211" s="19">
        <f t="shared" si="42"/>
        <v>37.448176753900547</v>
      </c>
      <c r="J211" s="20">
        <f t="shared" si="43"/>
        <v>37.448176753900547</v>
      </c>
      <c r="K211" s="17">
        <f t="shared" si="45"/>
        <v>40.10708693190341</v>
      </c>
      <c r="L211" s="43">
        <f t="shared" si="44"/>
        <v>-7.2947971734465059E-2</v>
      </c>
      <c r="M211" s="16">
        <v>50.578496710943639</v>
      </c>
      <c r="N211" s="45">
        <f t="shared" si="46"/>
        <v>-0.3704838271958335</v>
      </c>
      <c r="O211" s="51">
        <v>88223.86</v>
      </c>
      <c r="P211" s="27">
        <f t="shared" si="35"/>
        <v>224.11751555950718</v>
      </c>
      <c r="Q211" s="7" t="e">
        <v>#N/A</v>
      </c>
      <c r="R211" s="59" t="e">
        <v>#N/A</v>
      </c>
      <c r="S211" s="98">
        <v>-63.592487825681701</v>
      </c>
      <c r="T211" s="67">
        <v>1</v>
      </c>
      <c r="U211" s="80">
        <v>280.41375862776198</v>
      </c>
      <c r="V211" s="78">
        <f t="shared" si="36"/>
        <v>287.71000338518888</v>
      </c>
      <c r="W211" s="79">
        <f t="shared" si="37"/>
        <v>287.71000338518888</v>
      </c>
      <c r="X211" s="17">
        <f t="shared" si="38"/>
        <v>284.12777322578881</v>
      </c>
      <c r="Y211" s="43">
        <f t="shared" si="39"/>
        <v>1.6993325557439622E-2</v>
      </c>
      <c r="Z211" s="16">
        <v>268.63607218901132</v>
      </c>
      <c r="AA211" s="45">
        <f t="shared" si="40"/>
        <v>0.1281955599074609</v>
      </c>
    </row>
    <row r="212" spans="1:27" x14ac:dyDescent="0.2">
      <c r="A212" s="4">
        <f t="shared" si="34"/>
        <v>45778</v>
      </c>
      <c r="B212" s="26">
        <v>74713.37</v>
      </c>
      <c r="C212" s="27">
        <f t="shared" si="41"/>
        <v>44.877184956119422</v>
      </c>
      <c r="D212" s="7" t="e">
        <v>#N/A</v>
      </c>
      <c r="E212" s="8" t="e">
        <v>#N/A</v>
      </c>
      <c r="F212" s="100">
        <v>1.0599703877192199</v>
      </c>
      <c r="G212" s="13">
        <v>1</v>
      </c>
      <c r="H212" s="18">
        <v>44.854427657756801</v>
      </c>
      <c r="I212" s="19">
        <f t="shared" si="42"/>
        <v>42.338149703109565</v>
      </c>
      <c r="J212" s="20">
        <f t="shared" si="43"/>
        <v>42.338149703109565</v>
      </c>
      <c r="K212" s="17">
        <f t="shared" si="45"/>
        <v>43.697352081683505</v>
      </c>
      <c r="L212" s="43">
        <f t="shared" si="44"/>
        <v>8.5734457002951139E-2</v>
      </c>
      <c r="M212" s="16">
        <v>50.096742138764441</v>
      </c>
      <c r="N212" s="45">
        <f t="shared" si="46"/>
        <v>-0.30356537909713266</v>
      </c>
      <c r="O212" s="51">
        <v>100442.38</v>
      </c>
      <c r="P212" s="27">
        <f t="shared" si="35"/>
        <v>255.15656039629113</v>
      </c>
      <c r="Q212" s="7" t="e">
        <v>#N/A</v>
      </c>
      <c r="R212" s="59" t="e">
        <v>#N/A</v>
      </c>
      <c r="S212" s="98">
        <v>-24.417951685157</v>
      </c>
      <c r="T212" s="67">
        <v>1</v>
      </c>
      <c r="U212" s="80">
        <v>282.00231534561902</v>
      </c>
      <c r="V212" s="78">
        <f t="shared" si="36"/>
        <v>279.57451208144812</v>
      </c>
      <c r="W212" s="79">
        <f t="shared" si="37"/>
        <v>279.57451208144812</v>
      </c>
      <c r="X212" s="17">
        <f t="shared" si="38"/>
        <v>280.87000667764454</v>
      </c>
      <c r="Y212" s="43">
        <f t="shared" si="39"/>
        <v>-1.1532090099805513E-2</v>
      </c>
      <c r="Z212" s="16">
        <v>269.65811290230067</v>
      </c>
      <c r="AA212" s="45">
        <f t="shared" si="40"/>
        <v>5.6446535338995352E-2</v>
      </c>
    </row>
    <row r="213" spans="1:27" x14ac:dyDescent="0.2">
      <c r="A213" s="4">
        <f t="shared" si="34"/>
        <v>45809</v>
      </c>
      <c r="B213" s="26">
        <v>105251.56</v>
      </c>
      <c r="C213" s="27">
        <f t="shared" si="41"/>
        <v>63.220193722222689</v>
      </c>
      <c r="D213" s="7" t="e">
        <v>#N/A</v>
      </c>
      <c r="E213" s="8" t="e">
        <v>#N/A</v>
      </c>
      <c r="F213" s="100">
        <v>1.2004229592894</v>
      </c>
      <c r="G213" s="13">
        <v>1</v>
      </c>
      <c r="H213" s="18">
        <v>47.831551724122598</v>
      </c>
      <c r="I213" s="19">
        <f t="shared" si="42"/>
        <v>52.664932166614328</v>
      </c>
      <c r="J213" s="20">
        <f t="shared" si="43"/>
        <v>52.664932166614328</v>
      </c>
      <c r="K213" s="17">
        <f t="shared" si="45"/>
        <v>49.825776897104198</v>
      </c>
      <c r="L213" s="43">
        <f t="shared" si="44"/>
        <v>0.13124495132396458</v>
      </c>
      <c r="M213" s="16">
        <v>49.620026764283928</v>
      </c>
      <c r="N213" s="45">
        <f t="shared" si="46"/>
        <v>-0.23866543452394329</v>
      </c>
      <c r="O213" s="51">
        <v>113706.02</v>
      </c>
      <c r="P213" s="27">
        <f t="shared" si="35"/>
        <v>288.85055252127523</v>
      </c>
      <c r="Q213" s="7" t="e">
        <v>#N/A</v>
      </c>
      <c r="R213" s="59" t="e">
        <v>#N/A</v>
      </c>
      <c r="S213" s="98">
        <v>12.2295533587822</v>
      </c>
      <c r="T213" s="67">
        <v>1</v>
      </c>
      <c r="U213" s="80">
        <v>281.48291192489501</v>
      </c>
      <c r="V213" s="78">
        <f t="shared" si="36"/>
        <v>276.62099916249304</v>
      </c>
      <c r="W213" s="79">
        <f t="shared" si="37"/>
        <v>276.62099916249304</v>
      </c>
      <c r="X213" s="17">
        <f t="shared" si="38"/>
        <v>277.41850000744819</v>
      </c>
      <c r="Y213" s="43">
        <f t="shared" si="39"/>
        <v>-1.2364756225569425E-2</v>
      </c>
      <c r="Z213" s="16">
        <v>270.67943135877891</v>
      </c>
      <c r="AA213" s="45">
        <f t="shared" si="40"/>
        <v>2.3234684049951548E-2</v>
      </c>
    </row>
    <row r="214" spans="1:27" x14ac:dyDescent="0.2">
      <c r="A214" s="4">
        <f t="shared" si="34"/>
        <v>45839</v>
      </c>
      <c r="B214" s="26">
        <v>107677.35</v>
      </c>
      <c r="C214" s="27">
        <f t="shared" si="41"/>
        <v>64.677263942649176</v>
      </c>
      <c r="D214" s="7" t="e">
        <v>#N/A</v>
      </c>
      <c r="E214" s="8" t="e">
        <v>#N/A</v>
      </c>
      <c r="F214" s="100">
        <v>1.2525834561995399</v>
      </c>
      <c r="G214" s="13">
        <v>1</v>
      </c>
      <c r="H214" s="18">
        <v>50.559116933493897</v>
      </c>
      <c r="I214" s="19">
        <f t="shared" si="42"/>
        <v>51.635093552078587</v>
      </c>
      <c r="J214" s="20">
        <f t="shared" si="43"/>
        <v>51.635093552078587</v>
      </c>
      <c r="K214" s="17">
        <f t="shared" si="45"/>
        <v>51.896313991868738</v>
      </c>
      <c r="L214" s="43">
        <f t="shared" si="44"/>
        <v>4.0715307805244579E-2</v>
      </c>
      <c r="M214" s="16">
        <v>49.147783805630112</v>
      </c>
      <c r="N214" s="45">
        <f t="shared" si="46"/>
        <v>-0.23992540740363077</v>
      </c>
      <c r="O214" s="51">
        <v>128438.2</v>
      </c>
      <c r="P214" s="27">
        <f t="shared" si="35"/>
        <v>326.27511749015622</v>
      </c>
      <c r="Q214" s="7" t="e">
        <v>#N/A</v>
      </c>
      <c r="R214" s="59" t="e">
        <v>#N/A</v>
      </c>
      <c r="S214" s="98">
        <v>49.417627866797602</v>
      </c>
      <c r="T214" s="67">
        <v>1</v>
      </c>
      <c r="U214" s="80">
        <v>279.364173056455</v>
      </c>
      <c r="V214" s="78">
        <f t="shared" si="36"/>
        <v>276.85748962335862</v>
      </c>
      <c r="W214" s="79">
        <f t="shared" si="37"/>
        <v>276.85748962335862</v>
      </c>
      <c r="X214" s="17">
        <f t="shared" si="38"/>
        <v>280.24482483893291</v>
      </c>
      <c r="Y214" s="43">
        <f t="shared" si="39"/>
        <v>1.0136399168170589E-2</v>
      </c>
      <c r="Z214" s="16">
        <v>271.70007358842042</v>
      </c>
      <c r="AA214" s="45">
        <f t="shared" si="40"/>
        <v>5.7783081207853471E-2</v>
      </c>
    </row>
    <row r="215" spans="1:27" x14ac:dyDescent="0.2">
      <c r="A215" s="4">
        <f t="shared" si="34"/>
        <v>45870</v>
      </c>
      <c r="B215" s="26">
        <v>95491.48</v>
      </c>
      <c r="C215" s="27">
        <f t="shared" si="41"/>
        <v>57.357723385969322</v>
      </c>
      <c r="D215" s="7" t="e">
        <v>#N/A</v>
      </c>
      <c r="E215" s="8" t="e">
        <v>#N/A</v>
      </c>
      <c r="F215" s="100">
        <v>1.11050477412638</v>
      </c>
      <c r="G215" s="13">
        <v>1</v>
      </c>
      <c r="H215" s="18">
        <v>52.396203866084697</v>
      </c>
      <c r="I215" s="19">
        <f t="shared" si="42"/>
        <v>51.650136696703456</v>
      </c>
      <c r="J215" s="20">
        <f t="shared" si="43"/>
        <v>51.650136696703456</v>
      </c>
      <c r="K215" s="17">
        <f t="shared" si="45"/>
        <v>53.266698251893743</v>
      </c>
      <c r="L215" s="43">
        <f t="shared" si="44"/>
        <v>2.6063571329671169E-2</v>
      </c>
      <c r="M215" s="16">
        <v>48.679448068510602</v>
      </c>
      <c r="N215" s="45">
        <f t="shared" si="46"/>
        <v>-8.5626736873930742E-2</v>
      </c>
      <c r="O215" s="51">
        <v>137373.4</v>
      </c>
      <c r="P215" s="27">
        <f t="shared" si="35"/>
        <v>348.9734535755112</v>
      </c>
      <c r="Q215" s="7" t="e">
        <v>#N/A</v>
      </c>
      <c r="R215" s="59" t="e">
        <v>#N/A</v>
      </c>
      <c r="S215" s="98">
        <v>58.330132628989702</v>
      </c>
      <c r="T215" s="67">
        <v>1</v>
      </c>
      <c r="U215" s="80">
        <v>275.76713835405099</v>
      </c>
      <c r="V215" s="78">
        <f t="shared" si="36"/>
        <v>290.6433209465215</v>
      </c>
      <c r="W215" s="79">
        <f t="shared" si="37"/>
        <v>290.6433209465215</v>
      </c>
      <c r="X215" s="17">
        <f t="shared" si="38"/>
        <v>280.79459845040799</v>
      </c>
      <c r="Y215" s="43">
        <f t="shared" si="39"/>
        <v>1.9598401275401009E-3</v>
      </c>
      <c r="Z215" s="16">
        <v>272.72013762018622</v>
      </c>
      <c r="AA215" s="45">
        <f t="shared" si="40"/>
        <v>7.2096977818686181E-2</v>
      </c>
    </row>
    <row r="216" spans="1:27" x14ac:dyDescent="0.2">
      <c r="A216" s="4">
        <f t="shared" si="34"/>
        <v>45901</v>
      </c>
      <c r="B216" s="26">
        <v>101306.38</v>
      </c>
      <c r="C216" s="27">
        <f t="shared" si="41"/>
        <v>60.850489711478929</v>
      </c>
      <c r="D216" s="7" t="e">
        <v>#N/A</v>
      </c>
      <c r="E216" s="8" t="e">
        <v>#N/A</v>
      </c>
      <c r="F216" s="100">
        <v>1.04677441847866</v>
      </c>
      <c r="G216" s="13">
        <v>1</v>
      </c>
      <c r="H216" s="18">
        <v>53.416089736391299</v>
      </c>
      <c r="I216" s="19">
        <f t="shared" si="42"/>
        <v>58.131426062089474</v>
      </c>
      <c r="J216" s="20">
        <f t="shared" si="43"/>
        <v>58.131426062089474</v>
      </c>
      <c r="K216" s="17">
        <f t="shared" si="45"/>
        <v>54.71987869946858</v>
      </c>
      <c r="L216" s="43">
        <f t="shared" si="44"/>
        <v>2.6915718934258495E-2</v>
      </c>
      <c r="M216" s="16">
        <v>48.214475566427403</v>
      </c>
      <c r="N216" s="45">
        <f t="shared" si="46"/>
        <v>0.16508803608426548</v>
      </c>
      <c r="O216" s="51">
        <v>116878.04</v>
      </c>
      <c r="P216" s="27">
        <f t="shared" si="35"/>
        <v>296.90852279944113</v>
      </c>
      <c r="Q216" s="7" t="e">
        <v>#N/A</v>
      </c>
      <c r="R216" s="59" t="e">
        <v>#N/A</v>
      </c>
      <c r="S216" s="98">
        <v>31.8742605142108</v>
      </c>
      <c r="T216" s="67">
        <v>1</v>
      </c>
      <c r="U216" s="80">
        <v>271.47485410097602</v>
      </c>
      <c r="V216" s="78">
        <f t="shared" si="36"/>
        <v>265.03426228523034</v>
      </c>
      <c r="W216" s="79">
        <f t="shared" si="37"/>
        <v>265.03426228523034</v>
      </c>
      <c r="X216" s="17">
        <f t="shared" si="38"/>
        <v>270.69132948152173</v>
      </c>
      <c r="Y216" s="43">
        <f t="shared" si="39"/>
        <v>-3.6644269562315521E-2</v>
      </c>
      <c r="Z216" s="16">
        <v>273.73978741476009</v>
      </c>
      <c r="AA216" s="45">
        <f t="shared" si="40"/>
        <v>2.6952176447092802E-2</v>
      </c>
    </row>
    <row r="217" spans="1:27" x14ac:dyDescent="0.2">
      <c r="A217" s="4">
        <f t="shared" ref="A217:A243" si="47">EDATE(A216,1)</f>
        <v>45931</v>
      </c>
      <c r="B217" s="26">
        <v>81462.05</v>
      </c>
      <c r="C217" s="27">
        <f t="shared" si="41"/>
        <v>48.930833728349405</v>
      </c>
      <c r="D217" s="7" t="e">
        <v>#N/A</v>
      </c>
      <c r="E217" s="8" t="e">
        <v>#N/A</v>
      </c>
      <c r="F217" s="100">
        <v>0.96005824980965904</v>
      </c>
      <c r="G217" s="13">
        <v>1</v>
      </c>
      <c r="H217" s="18">
        <v>53.475822595055099</v>
      </c>
      <c r="I217" s="19">
        <f t="shared" si="42"/>
        <v>50.966525976991939</v>
      </c>
      <c r="J217" s="20">
        <f t="shared" si="43"/>
        <v>50.966525976991939</v>
      </c>
      <c r="K217" s="17">
        <f t="shared" si="45"/>
        <v>52.282375279883063</v>
      </c>
      <c r="L217" s="43">
        <f t="shared" si="44"/>
        <v>-4.5567735022756801E-2</v>
      </c>
      <c r="M217" s="16">
        <v>47.752357708331303</v>
      </c>
      <c r="N217" s="45">
        <f t="shared" si="46"/>
        <v>5.2907419826096147E-2</v>
      </c>
      <c r="O217" s="51">
        <v>113031.74</v>
      </c>
      <c r="P217" s="27">
        <f t="shared" si="35"/>
        <v>287.13766035818622</v>
      </c>
      <c r="Q217" s="7" t="e">
        <v>#N/A</v>
      </c>
      <c r="R217" s="59" t="e">
        <v>#N/A</v>
      </c>
      <c r="S217" s="98">
        <v>25.0841879490815</v>
      </c>
      <c r="T217" s="67">
        <v>1</v>
      </c>
      <c r="U217" s="80">
        <v>268.62033732889302</v>
      </c>
      <c r="V217" s="78">
        <f t="shared" si="36"/>
        <v>262.0534724091047</v>
      </c>
      <c r="W217" s="79">
        <f t="shared" si="37"/>
        <v>262.0534724091047</v>
      </c>
      <c r="X217" s="17">
        <f t="shared" si="38"/>
        <v>266.35621070409536</v>
      </c>
      <c r="Y217" s="43">
        <f t="shared" si="39"/>
        <v>-1.6144615195167158E-2</v>
      </c>
      <c r="Z217" s="16">
        <v>274.75924923576429</v>
      </c>
      <c r="AA217" s="45">
        <f t="shared" si="40"/>
        <v>1.6270758167834076E-2</v>
      </c>
    </row>
    <row r="218" spans="1:27" x14ac:dyDescent="0.2">
      <c r="A218" s="4">
        <f t="shared" si="47"/>
        <v>45962</v>
      </c>
      <c r="B218" s="26">
        <v>65351.41</v>
      </c>
      <c r="C218" s="27">
        <f t="shared" si="41"/>
        <v>39.253848591131586</v>
      </c>
      <c r="D218" s="7" t="e">
        <v>#N/A</v>
      </c>
      <c r="E218" s="8" t="e">
        <v>#N/A</v>
      </c>
      <c r="F218" s="100">
        <v>0.80003729965357595</v>
      </c>
      <c r="G218" s="13">
        <v>1</v>
      </c>
      <c r="H218" s="18">
        <v>52.871107157676903</v>
      </c>
      <c r="I218" s="19">
        <f t="shared" si="42"/>
        <v>49.065023103458913</v>
      </c>
      <c r="J218" s="20">
        <f t="shared" si="43"/>
        <v>49.065023103458913</v>
      </c>
      <c r="K218" s="17">
        <f t="shared" si="45"/>
        <v>49.893726322971034</v>
      </c>
      <c r="L218" s="43">
        <f t="shared" si="44"/>
        <v>-4.6764051676740047E-2</v>
      </c>
      <c r="M218" s="16">
        <v>47.29263609918501</v>
      </c>
      <c r="N218" s="45">
        <f t="shared" si="46"/>
        <v>-0.12836502933496974</v>
      </c>
      <c r="O218" s="51">
        <v>115067.4</v>
      </c>
      <c r="P218" s="27">
        <f t="shared" si="35"/>
        <v>292.30890384859646</v>
      </c>
      <c r="Q218" s="7" t="e">
        <v>#N/A</v>
      </c>
      <c r="R218" s="59" t="e">
        <v>#N/A</v>
      </c>
      <c r="S218" s="98">
        <v>16.025268135654802</v>
      </c>
      <c r="T218" s="67">
        <v>1</v>
      </c>
      <c r="U218" s="80">
        <v>267.85517118777301</v>
      </c>
      <c r="V218" s="78">
        <f t="shared" si="36"/>
        <v>276.28363571294165</v>
      </c>
      <c r="W218" s="79">
        <f t="shared" si="37"/>
        <v>276.28363571294165</v>
      </c>
      <c r="X218" s="17">
        <f t="shared" si="38"/>
        <v>268.59084026951467</v>
      </c>
      <c r="Y218" s="43">
        <f t="shared" si="39"/>
        <v>8.3546308346056416E-3</v>
      </c>
      <c r="Z218" s="16">
        <v>275.77872582476891</v>
      </c>
      <c r="AA218" s="45">
        <f t="shared" si="40"/>
        <v>3.4561431156662659E-2</v>
      </c>
    </row>
    <row r="219" spans="1:27" x14ac:dyDescent="0.2">
      <c r="A219" s="4">
        <f t="shared" si="47"/>
        <v>45992</v>
      </c>
      <c r="B219" s="26">
        <v>74936.52</v>
      </c>
      <c r="C219" s="27">
        <f t="shared" si="41"/>
        <v>45.011221793474753</v>
      </c>
      <c r="D219" s="7" t="e">
        <v>#N/A</v>
      </c>
      <c r="E219" s="8" t="e">
        <v>#N/A</v>
      </c>
      <c r="F219" s="100">
        <v>0.89169390156356099</v>
      </c>
      <c r="G219" s="13">
        <v>1</v>
      </c>
      <c r="H219" s="18">
        <v>51.946847162658301</v>
      </c>
      <c r="I219" s="19">
        <f t="shared" si="42"/>
        <v>50.478333107974386</v>
      </c>
      <c r="J219" s="20">
        <f t="shared" si="43"/>
        <v>50.478333107974386</v>
      </c>
      <c r="K219" s="17">
        <f t="shared" si="45"/>
        <v>52.416010392085816</v>
      </c>
      <c r="L219" s="43">
        <f t="shared" si="44"/>
        <v>4.9316816629431583E-2</v>
      </c>
      <c r="M219" s="16">
        <v>46.834887297790473</v>
      </c>
      <c r="N219" s="45">
        <f t="shared" si="46"/>
        <v>-5.6614769536101006E-2</v>
      </c>
      <c r="O219" s="51">
        <v>97879.24</v>
      </c>
      <c r="P219" s="27">
        <f t="shared" si="35"/>
        <v>248.64534484948558</v>
      </c>
      <c r="Q219" s="7" t="e">
        <v>#N/A</v>
      </c>
      <c r="R219" s="59" t="e">
        <v>#N/A</v>
      </c>
      <c r="S219" s="98">
        <v>-11.0972723935852</v>
      </c>
      <c r="T219" s="67">
        <v>1</v>
      </c>
      <c r="U219" s="80">
        <v>269.46276573127301</v>
      </c>
      <c r="V219" s="78">
        <f t="shared" si="36"/>
        <v>259.74261724307075</v>
      </c>
      <c r="W219" s="79">
        <f t="shared" si="37"/>
        <v>259.74261724307075</v>
      </c>
      <c r="X219" s="17">
        <f t="shared" si="38"/>
        <v>264.43704414453077</v>
      </c>
      <c r="Y219" s="43">
        <f t="shared" si="39"/>
        <v>-1.5585977145710804E-2</v>
      </c>
      <c r="Z219" s="16">
        <v>276.79835508508398</v>
      </c>
      <c r="AA219" s="45">
        <f t="shared" si="40"/>
        <v>1.2488118604908838E-2</v>
      </c>
    </row>
    <row r="220" spans="1:27" x14ac:dyDescent="0.2">
      <c r="A220" s="4">
        <f t="shared" si="47"/>
        <v>46023</v>
      </c>
      <c r="B220" s="26">
        <v>90116</v>
      </c>
      <c r="C220" s="27">
        <f t="shared" si="41"/>
        <v>54.12889820798685</v>
      </c>
      <c r="D220" s="7" t="e">
        <v>#N/A</v>
      </c>
      <c r="E220" s="8" t="e">
        <v>#N/A</v>
      </c>
      <c r="F220" s="100">
        <v>0.90755807185577397</v>
      </c>
      <c r="G220" s="13">
        <v>1</v>
      </c>
      <c r="H220" s="18">
        <v>51.175235719262702</v>
      </c>
      <c r="I220" s="19">
        <f t="shared" si="42"/>
        <v>59.642352248935573</v>
      </c>
      <c r="J220" s="20">
        <f t="shared" si="43"/>
        <v>59.642352248935573</v>
      </c>
      <c r="K220" s="17">
        <f t="shared" si="45"/>
        <v>55.080775854941308</v>
      </c>
      <c r="L220" s="43">
        <f t="shared" si="44"/>
        <v>4.9588673233755001E-2</v>
      </c>
      <c r="M220" s="16">
        <v>46.378707933090233</v>
      </c>
      <c r="N220" s="45">
        <f t="shared" si="46"/>
        <v>0.12032262684297401</v>
      </c>
      <c r="O220" s="51">
        <v>95946</v>
      </c>
      <c r="P220" s="27">
        <f t="shared" ref="P220:P283" si="48">O220*P$2</f>
        <v>243.73428172234219</v>
      </c>
      <c r="Q220" s="7" t="e">
        <v>#N/A</v>
      </c>
      <c r="R220" s="59" t="e">
        <v>#N/A</v>
      </c>
      <c r="S220" s="98">
        <v>-18.245024656697801</v>
      </c>
      <c r="T220" s="67">
        <v>1</v>
      </c>
      <c r="U220" s="80">
        <v>272.647580734553</v>
      </c>
      <c r="V220" s="78">
        <f t="shared" ref="V220:V243" si="49">IFERROR(IF($S$2="NIV",P220-S220,P220/S220),NA())</f>
        <v>261.97930637904</v>
      </c>
      <c r="W220" s="79">
        <f t="shared" ref="W220:W243" si="50">V220*T220+(1-T220)*U220</f>
        <v>261.97930637904</v>
      </c>
      <c r="X220" s="17">
        <f t="shared" si="38"/>
        <v>268.66044260357216</v>
      </c>
      <c r="Y220" s="43">
        <f t="shared" si="39"/>
        <v>1.5845082471898871E-2</v>
      </c>
      <c r="Z220" s="16">
        <v>277.81821945793968</v>
      </c>
      <c r="AA220" s="45">
        <f t="shared" si="40"/>
        <v>1.1710136802493887E-2</v>
      </c>
    </row>
    <row r="221" spans="1:27" x14ac:dyDescent="0.2">
      <c r="A221" s="4">
        <f t="shared" si="47"/>
        <v>46054</v>
      </c>
      <c r="B221" s="26">
        <v>67335.58</v>
      </c>
      <c r="C221" s="27">
        <f t="shared" si="41"/>
        <v>40.445656216385046</v>
      </c>
      <c r="D221" s="7" t="e">
        <v>#N/A</v>
      </c>
      <c r="E221" s="8" t="e">
        <v>#N/A</v>
      </c>
      <c r="F221" s="100">
        <v>0.79995260222248299</v>
      </c>
      <c r="G221" s="13">
        <v>1</v>
      </c>
      <c r="H221" s="18">
        <v>50.626438963857701</v>
      </c>
      <c r="I221" s="19">
        <f t="shared" si="42"/>
        <v>50.560065813919678</v>
      </c>
      <c r="J221" s="20">
        <f t="shared" si="43"/>
        <v>50.560065813919678</v>
      </c>
      <c r="K221" s="17">
        <f t="shared" si="45"/>
        <v>51.031986992312078</v>
      </c>
      <c r="L221" s="43">
        <f t="shared" si="44"/>
        <v>-7.6348127679200045E-2</v>
      </c>
      <c r="M221" s="16">
        <v>45.923737698248431</v>
      </c>
      <c r="N221" s="45">
        <f t="shared" si="46"/>
        <v>9.9205177302772674E-2</v>
      </c>
      <c r="O221" s="51">
        <v>99464.81</v>
      </c>
      <c r="P221" s="27">
        <f t="shared" si="48"/>
        <v>252.6732122443795</v>
      </c>
      <c r="Q221" s="7" t="e">
        <v>#N/A</v>
      </c>
      <c r="R221" s="59" t="e">
        <v>#N/A</v>
      </c>
      <c r="S221" s="98">
        <v>-38.267328168758503</v>
      </c>
      <c r="T221" s="67">
        <v>1</v>
      </c>
      <c r="U221" s="80">
        <v>276.21921956187902</v>
      </c>
      <c r="V221" s="78">
        <f t="shared" si="49"/>
        <v>290.94054041313802</v>
      </c>
      <c r="W221" s="79">
        <f t="shared" si="50"/>
        <v>290.94054041313802</v>
      </c>
      <c r="X221" s="17">
        <f t="shared" ref="X221:X225" si="51">IFERROR((W220+2*W221+W222)/4,(W220+W221*2)/3)</f>
        <v>284.31730781938512</v>
      </c>
      <c r="Y221" s="43">
        <f t="shared" si="39"/>
        <v>5.6642608439193227E-2</v>
      </c>
      <c r="Z221" s="16">
        <v>278.83830600408032</v>
      </c>
      <c r="AA221" s="45">
        <f t="shared" si="40"/>
        <v>4.9435113523344842E-2</v>
      </c>
    </row>
    <row r="222" spans="1:27" x14ac:dyDescent="0.2">
      <c r="A222" s="4">
        <f t="shared" si="47"/>
        <v>46082</v>
      </c>
      <c r="B222" s="26">
        <v>67947.19</v>
      </c>
      <c r="C222" s="27">
        <f t="shared" si="41"/>
        <v>40.81302466852437</v>
      </c>
      <c r="D222" s="7" t="e">
        <v>#N/A</v>
      </c>
      <c r="E222" s="8" t="e">
        <v>#N/A</v>
      </c>
      <c r="F222" s="100">
        <v>0.94114119432675403</v>
      </c>
      <c r="G222" s="13">
        <v>1</v>
      </c>
      <c r="H222" s="18">
        <v>50.3000834971253</v>
      </c>
      <c r="I222" s="19">
        <f t="shared" si="42"/>
        <v>43.365464092473388</v>
      </c>
      <c r="J222" s="20">
        <f t="shared" si="43"/>
        <v>43.365464092473388</v>
      </c>
      <c r="K222" s="17">
        <f t="shared" si="45"/>
        <v>46.720854557410604</v>
      </c>
      <c r="L222" s="43">
        <f t="shared" si="44"/>
        <v>-8.826200265369076E-2</v>
      </c>
      <c r="M222" s="16">
        <v>45.469683432014833</v>
      </c>
      <c r="N222" s="45">
        <f t="shared" si="46"/>
        <v>8.2950875664038026E-2</v>
      </c>
      <c r="O222" s="51">
        <v>100773.01</v>
      </c>
      <c r="P222" s="27">
        <f t="shared" si="48"/>
        <v>255.99646894449381</v>
      </c>
      <c r="Q222" s="7" t="e">
        <v>#N/A</v>
      </c>
      <c r="R222" s="59" t="e">
        <v>#N/A</v>
      </c>
      <c r="S222" s="98">
        <v>-37.412375127730499</v>
      </c>
      <c r="T222" s="67">
        <v>1</v>
      </c>
      <c r="U222" s="80">
        <v>279.16043648580899</v>
      </c>
      <c r="V222" s="78">
        <f t="shared" si="49"/>
        <v>293.40884407222433</v>
      </c>
      <c r="W222" s="79">
        <f t="shared" si="50"/>
        <v>293.40884407222433</v>
      </c>
      <c r="X222" s="17">
        <f t="shared" si="51"/>
        <v>286.25537145679777</v>
      </c>
      <c r="Y222" s="43">
        <f t="shared" ref="Y222:Y243" si="52">LN(X222/X221)</f>
        <v>6.7934240855482327E-3</v>
      </c>
      <c r="Z222" s="16">
        <v>279.85853112239181</v>
      </c>
      <c r="AA222" s="45">
        <f t="shared" si="40"/>
        <v>2.4755043886755868E-2</v>
      </c>
    </row>
    <row r="223" spans="1:27" x14ac:dyDescent="0.2">
      <c r="A223" s="4">
        <f t="shared" si="47"/>
        <v>46113</v>
      </c>
      <c r="B223" s="26">
        <v>83163.570000000007</v>
      </c>
      <c r="C223" s="27">
        <f t="shared" si="41"/>
        <v>49.952865364006271</v>
      </c>
      <c r="D223" s="7" t="e">
        <v>#N/A</v>
      </c>
      <c r="E223" s="8" t="e">
        <v>#N/A</v>
      </c>
      <c r="F223" s="100">
        <v>1.00726806843628</v>
      </c>
      <c r="G223" s="13">
        <v>1</v>
      </c>
      <c r="H223" s="18">
        <v>50.168499496376597</v>
      </c>
      <c r="I223" s="19">
        <f t="shared" si="42"/>
        <v>49.592424230775961</v>
      </c>
      <c r="J223" s="20">
        <f t="shared" si="43"/>
        <v>49.592424230775961</v>
      </c>
      <c r="K223" s="17">
        <f t="shared" si="45"/>
        <v>48.955680194403747</v>
      </c>
      <c r="L223" s="43">
        <f t="shared" si="44"/>
        <v>4.6724773594846336E-2</v>
      </c>
      <c r="M223" s="16">
        <v>45.016291388643133</v>
      </c>
      <c r="N223" s="45">
        <f t="shared" si="46"/>
        <v>0.22062418239260539</v>
      </c>
      <c r="O223" s="51">
        <v>80017.440000000002</v>
      </c>
      <c r="P223" s="27">
        <f t="shared" si="48"/>
        <v>203.2705194970151</v>
      </c>
      <c r="Q223" s="7" t="e">
        <v>#N/A</v>
      </c>
      <c r="R223" s="59" t="e">
        <v>#N/A</v>
      </c>
      <c r="S223" s="98">
        <v>-63.992737772589201</v>
      </c>
      <c r="T223" s="67">
        <v>1</v>
      </c>
      <c r="U223" s="80">
        <v>281.13874759459401</v>
      </c>
      <c r="V223" s="78">
        <f t="shared" si="49"/>
        <v>267.26325726960431</v>
      </c>
      <c r="W223" s="79">
        <f t="shared" si="50"/>
        <v>267.26325726960431</v>
      </c>
      <c r="X223" s="17">
        <f t="shared" si="51"/>
        <v>277.94335363407453</v>
      </c>
      <c r="Y223" s="43">
        <f t="shared" si="52"/>
        <v>-2.9466990585222848E-2</v>
      </c>
      <c r="Z223" s="16">
        <v>280.87885348800859</v>
      </c>
      <c r="AA223" s="45">
        <f t="shared" si="40"/>
        <v>-2.1766332525330778E-2</v>
      </c>
    </row>
    <row r="224" spans="1:27" x14ac:dyDescent="0.2">
      <c r="A224" s="4">
        <f t="shared" si="47"/>
        <v>46143</v>
      </c>
      <c r="B224" s="26">
        <v>93100.66</v>
      </c>
      <c r="C224" s="27">
        <f t="shared" si="41"/>
        <v>55.921658176532389</v>
      </c>
      <c r="D224" s="7" t="e">
        <v>#N/A</v>
      </c>
      <c r="E224" s="8" t="e">
        <v>#N/A</v>
      </c>
      <c r="F224" s="100">
        <v>1.0497302457554301</v>
      </c>
      <c r="G224" s="13">
        <v>1</v>
      </c>
      <c r="H224" s="18">
        <v>50.289340882921501</v>
      </c>
      <c r="I224" s="19">
        <f t="shared" si="42"/>
        <v>53.272408223589679</v>
      </c>
      <c r="J224" s="20">
        <f t="shared" si="43"/>
        <v>53.272408223589679</v>
      </c>
      <c r="K224" s="17">
        <f t="shared" si="45"/>
        <v>53.717406695124652</v>
      </c>
      <c r="L224" s="43">
        <f t="shared" si="44"/>
        <v>9.2821693025322782E-2</v>
      </c>
      <c r="M224" s="16">
        <v>44.563317476485118</v>
      </c>
      <c r="N224" s="45">
        <f t="shared" si="46"/>
        <v>0.22930576193062335</v>
      </c>
      <c r="O224" s="51">
        <v>102404.79</v>
      </c>
      <c r="P224" s="27">
        <f t="shared" si="48"/>
        <v>260.14172488250983</v>
      </c>
      <c r="Q224" s="7" t="e">
        <v>#N/A</v>
      </c>
      <c r="R224" s="59" t="e">
        <v>#N/A</v>
      </c>
      <c r="S224" s="98">
        <v>-23.6963310423553</v>
      </c>
      <c r="T224" s="67">
        <v>1</v>
      </c>
      <c r="U224" s="80">
        <v>283.30909784692801</v>
      </c>
      <c r="V224" s="78">
        <f t="shared" si="49"/>
        <v>283.83805592486516</v>
      </c>
      <c r="W224" s="79">
        <f t="shared" si="50"/>
        <v>283.83805592486516</v>
      </c>
      <c r="X224" s="17">
        <f t="shared" si="51"/>
        <v>277.79058821568071</v>
      </c>
      <c r="Y224" s="43">
        <f t="shared" si="52"/>
        <v>-5.4977898860451748E-4</v>
      </c>
      <c r="Z224" s="16">
        <v>281.89928113440152</v>
      </c>
      <c r="AA224" s="45">
        <f t="shared" si="40"/>
        <v>-1.0963856548407036E-2</v>
      </c>
    </row>
    <row r="225" spans="1:27" x14ac:dyDescent="0.2">
      <c r="A225" s="4">
        <f t="shared" si="47"/>
        <v>46174</v>
      </c>
      <c r="B225" s="26">
        <v>118583.51</v>
      </c>
      <c r="C225" s="27">
        <f t="shared" si="41"/>
        <v>71.228136423451886</v>
      </c>
      <c r="D225" s="7" t="e">
        <v>#N/A</v>
      </c>
      <c r="E225" s="8" t="e">
        <v>#N/A</v>
      </c>
      <c r="F225" s="100">
        <v>1.2127574094996201</v>
      </c>
      <c r="G225" s="13">
        <v>1</v>
      </c>
      <c r="H225" s="18">
        <v>51.785860471041602</v>
      </c>
      <c r="I225" s="19">
        <f t="shared" si="42"/>
        <v>58.732386102543288</v>
      </c>
      <c r="J225" s="20">
        <f t="shared" si="43"/>
        <v>58.732386102543288</v>
      </c>
      <c r="K225" s="17">
        <f t="shared" si="45"/>
        <v>54.697230653165789</v>
      </c>
      <c r="L225" s="43">
        <f t="shared" si="44"/>
        <v>1.8075984220097211E-2</v>
      </c>
      <c r="M225" s="16">
        <v>44.110548000411271</v>
      </c>
      <c r="N225" s="45">
        <f t="shared" si="46"/>
        <v>9.7769750105887621E-2</v>
      </c>
      <c r="O225" s="51">
        <v>113204.07</v>
      </c>
      <c r="P225" s="27">
        <f t="shared" si="48"/>
        <v>287.57543503111901</v>
      </c>
      <c r="Q225" s="7" t="e">
        <v>#N/A</v>
      </c>
      <c r="R225" s="59" t="e">
        <v>#N/A</v>
      </c>
      <c r="S225" s="98">
        <v>11.352451287730799</v>
      </c>
      <c r="T225" s="67">
        <v>1</v>
      </c>
      <c r="U225" s="80">
        <v>285.98804447948697</v>
      </c>
      <c r="V225" s="78">
        <f t="shared" si="49"/>
        <v>276.22298374338823</v>
      </c>
      <c r="W225" s="79">
        <f t="shared" si="50"/>
        <v>276.22298374338823</v>
      </c>
      <c r="X225" s="17">
        <f t="shared" si="51"/>
        <v>283.17588297405223</v>
      </c>
      <c r="Y225" s="43">
        <f t="shared" si="52"/>
        <v>1.9200649170262901E-2</v>
      </c>
      <c r="Z225" s="16">
        <v>282.91979944457881</v>
      </c>
      <c r="AA225" s="45">
        <f t="shared" si="40"/>
        <v>2.0753421154138918E-2</v>
      </c>
    </row>
    <row r="226" spans="1:27" x14ac:dyDescent="0.2">
      <c r="A226" s="4">
        <f t="shared" si="47"/>
        <v>46204</v>
      </c>
      <c r="B226" s="26">
        <v>101096.99</v>
      </c>
      <c r="C226" s="27">
        <f t="shared" si="41"/>
        <v>60.724717928490662</v>
      </c>
      <c r="D226" s="7" t="e">
        <v>#N/A</v>
      </c>
      <c r="E226" s="8" t="e">
        <v>#N/A</v>
      </c>
      <c r="F226" s="100">
        <v>1.2637360305476499</v>
      </c>
      <c r="G226" s="13">
        <v>1</v>
      </c>
      <c r="H226" s="18">
        <v>55.287284843224398</v>
      </c>
      <c r="I226" s="19">
        <f t="shared" si="42"/>
        <v>48.051742183986896</v>
      </c>
      <c r="J226" s="20">
        <f t="shared" si="43"/>
        <v>48.051742183986896</v>
      </c>
      <c r="K226" s="17">
        <f>IFERROR((J225+2*J226+J227)/4,(J225+J226*2)/3)</f>
        <v>51.611956823505693</v>
      </c>
      <c r="L226" s="43">
        <f>LN(K226/K225)</f>
        <v>-5.8059713203392725E-2</v>
      </c>
      <c r="M226" s="16">
        <v>43.657839898696388</v>
      </c>
      <c r="N226" s="45">
        <f t="shared" si="46"/>
        <v>-5.4793326633486572E-3</v>
      </c>
      <c r="O226" s="51">
        <v>136862.89000000001</v>
      </c>
      <c r="P226" s="27">
        <f t="shared" si="48"/>
        <v>347.67659088022356</v>
      </c>
      <c r="Q226" s="7" t="e">
        <v>#N/A</v>
      </c>
      <c r="R226" s="59" t="e">
        <v>#N/A</v>
      </c>
      <c r="S226" s="98">
        <v>51.257082395656099</v>
      </c>
      <c r="T226" s="67">
        <v>1</v>
      </c>
      <c r="U226" s="80">
        <v>289.33460086510797</v>
      </c>
      <c r="V226" s="78">
        <f t="shared" si="49"/>
        <v>296.41950848456747</v>
      </c>
      <c r="W226" s="79">
        <f t="shared" si="50"/>
        <v>296.41950848456747</v>
      </c>
      <c r="X226" s="17">
        <f>IFERROR((W225+2*W226+W227)/4,(W225+W226*2)/3)</f>
        <v>289.68733357084108</v>
      </c>
      <c r="Y226" s="43">
        <f t="shared" si="52"/>
        <v>2.2733982043867364E-2</v>
      </c>
      <c r="Z226" s="16">
        <v>283.94036209867193</v>
      </c>
      <c r="AA226" s="45">
        <f t="shared" si="40"/>
        <v>3.3693784487671241E-2</v>
      </c>
    </row>
    <row r="227" spans="1:27" x14ac:dyDescent="0.2">
      <c r="A227" s="4">
        <f t="shared" si="47"/>
        <v>46235</v>
      </c>
      <c r="B227" s="26" t="e">
        <f>NA()</f>
        <v>#N/A</v>
      </c>
      <c r="C227" s="27" t="e">
        <f t="shared" si="41"/>
        <v>#N/A</v>
      </c>
      <c r="D227" s="11">
        <v>62.421945035999201</v>
      </c>
      <c r="E227" s="102">
        <f t="shared" ref="E227:E243" si="53">IF($F$2="NIV",D227-$F227,D227/$F227)</f>
        <v>55.787498650493902</v>
      </c>
      <c r="F227" s="100">
        <v>1.1189235320814399</v>
      </c>
      <c r="G227" s="13"/>
      <c r="H227" s="18" t="e">
        <f t="shared" ref="H227:H243" si="54">I227</f>
        <v>#N/A</v>
      </c>
      <c r="I227" s="19" t="e">
        <f t="shared" si="42"/>
        <v>#N/A</v>
      </c>
      <c r="J227" s="20" t="e">
        <f t="shared" si="43"/>
        <v>#N/A</v>
      </c>
      <c r="K227" s="103">
        <f>IF(ISNUMBER(J226),(E227*2+J226)/3,NA())</f>
        <v>53.208913161658238</v>
      </c>
      <c r="L227" s="104">
        <f t="shared" si="44"/>
        <v>3.0472555916875255E-2</v>
      </c>
      <c r="M227" s="16" t="e">
        <v>#N/A</v>
      </c>
      <c r="N227" s="45">
        <f t="shared" si="46"/>
        <v>-1.0848258317466275E-3</v>
      </c>
      <c r="O227" s="51" t="e">
        <f>NA()</f>
        <v>#N/A</v>
      </c>
      <c r="P227" s="27" t="e">
        <f t="shared" si="48"/>
        <v>#N/A</v>
      </c>
      <c r="Q227" s="95">
        <v>356.646053685021</v>
      </c>
      <c r="R227" s="109">
        <f t="shared" ref="R227:R243" si="55">IF($S$2="NIV",Q227-$S227,Q227/$S227)</f>
        <v>296.44783077410221</v>
      </c>
      <c r="S227" s="98">
        <v>60.198222910918801</v>
      </c>
      <c r="T227" s="67"/>
      <c r="U227" s="80" t="e">
        <f t="shared" ref="U227:U243" si="56">V227</f>
        <v>#N/A</v>
      </c>
      <c r="V227" s="78" t="e">
        <f t="shared" si="49"/>
        <v>#N/A</v>
      </c>
      <c r="W227" s="79" t="e">
        <f t="shared" si="50"/>
        <v>#N/A</v>
      </c>
      <c r="X227" s="110">
        <f>IF(ISNUMBER(W226),(R227*2+W226)/3,NA())</f>
        <v>296.43839001092397</v>
      </c>
      <c r="Y227" s="111">
        <f t="shared" si="52"/>
        <v>2.303722474208059E-2</v>
      </c>
      <c r="Z227" s="16" t="e">
        <v>#N/A</v>
      </c>
      <c r="AA227" s="45">
        <f t="shared" si="40"/>
        <v>5.571258010961655E-2</v>
      </c>
    </row>
    <row r="228" spans="1:27" x14ac:dyDescent="0.2">
      <c r="A228" s="4">
        <f t="shared" si="47"/>
        <v>46266</v>
      </c>
      <c r="B228" s="26" t="e">
        <f>NA()</f>
        <v>#N/A</v>
      </c>
      <c r="C228" s="27" t="e">
        <f t="shared" si="41"/>
        <v>#N/A</v>
      </c>
      <c r="D228" s="11">
        <v>68.680906232692095</v>
      </c>
      <c r="E228" s="102">
        <f t="shared" si="53"/>
        <v>65.540120828513665</v>
      </c>
      <c r="F228" s="100">
        <v>1.0479215687196599</v>
      </c>
      <c r="G228" s="13"/>
      <c r="H228" s="18" t="e">
        <f t="shared" si="54"/>
        <v>#N/A</v>
      </c>
      <c r="I228" s="19" t="e">
        <f t="shared" si="42"/>
        <v>#N/A</v>
      </c>
      <c r="J228" s="20" t="e">
        <f t="shared" si="43"/>
        <v>#N/A</v>
      </c>
      <c r="K228" s="17" t="e">
        <f t="shared" ref="K228:K243" si="57">IF(ISNUMBER(J227),(E228*2+J227)/3,NA())</f>
        <v>#N/A</v>
      </c>
      <c r="L228" s="43" t="e">
        <f t="shared" si="44"/>
        <v>#N/A</v>
      </c>
      <c r="M228" s="16" t="e">
        <v>#N/A</v>
      </c>
      <c r="N228" s="45" t="e">
        <f t="shared" si="46"/>
        <v>#N/A</v>
      </c>
      <c r="O228" s="51" t="e">
        <f>NA()</f>
        <v>#N/A</v>
      </c>
      <c r="P228" s="27" t="e">
        <f t="shared" si="48"/>
        <v>#N/A</v>
      </c>
      <c r="Q228" s="95">
        <v>328.69679978368703</v>
      </c>
      <c r="R228" s="109">
        <f t="shared" si="55"/>
        <v>297.61485352698605</v>
      </c>
      <c r="S228" s="98">
        <v>31.081946256700999</v>
      </c>
      <c r="T228" s="67"/>
      <c r="U228" s="80" t="e">
        <f t="shared" si="56"/>
        <v>#N/A</v>
      </c>
      <c r="V228" s="78" t="e">
        <f t="shared" si="49"/>
        <v>#N/A</v>
      </c>
      <c r="W228" s="79" t="e">
        <f t="shared" si="50"/>
        <v>#N/A</v>
      </c>
      <c r="X228" s="17" t="e">
        <f t="shared" ref="X228:X243" si="58">IF(ISNUMBER(W227),(R228*2+W227)/3,NA())</f>
        <v>#N/A</v>
      </c>
      <c r="Y228" s="43" t="e">
        <f t="shared" si="52"/>
        <v>#N/A</v>
      </c>
      <c r="Z228" s="16" t="e">
        <v>#N/A</v>
      </c>
      <c r="AA228" s="45" t="e">
        <f t="shared" si="40"/>
        <v>#N/A</v>
      </c>
    </row>
    <row r="229" spans="1:27" x14ac:dyDescent="0.2">
      <c r="A229" s="4">
        <f t="shared" si="47"/>
        <v>46296</v>
      </c>
      <c r="B229" s="26" t="e">
        <f>NA()</f>
        <v>#N/A</v>
      </c>
      <c r="C229" s="27" t="e">
        <f t="shared" si="41"/>
        <v>#N/A</v>
      </c>
      <c r="D229" s="11">
        <v>68.539103375731798</v>
      </c>
      <c r="E229" s="102">
        <f t="shared" si="53"/>
        <v>73.802681113690255</v>
      </c>
      <c r="F229" s="100">
        <v>0.92868039943088099</v>
      </c>
      <c r="G229" s="13"/>
      <c r="H229" s="18" t="e">
        <f t="shared" si="54"/>
        <v>#N/A</v>
      </c>
      <c r="I229" s="19" t="e">
        <f t="shared" si="42"/>
        <v>#N/A</v>
      </c>
      <c r="J229" s="20" t="e">
        <f t="shared" si="43"/>
        <v>#N/A</v>
      </c>
      <c r="K229" s="17" t="e">
        <f t="shared" si="57"/>
        <v>#N/A</v>
      </c>
      <c r="L229" s="43" t="e">
        <f t="shared" si="44"/>
        <v>#N/A</v>
      </c>
      <c r="M229" s="16" t="e">
        <v>#N/A</v>
      </c>
      <c r="N229" s="45" t="e">
        <f t="shared" si="46"/>
        <v>#N/A</v>
      </c>
      <c r="O229" s="51" t="e">
        <f>NA()</f>
        <v>#N/A</v>
      </c>
      <c r="P229" s="27" t="e">
        <f t="shared" si="48"/>
        <v>#N/A</v>
      </c>
      <c r="Q229" s="95">
        <v>324.26410424786798</v>
      </c>
      <c r="R229" s="109">
        <f t="shared" si="55"/>
        <v>301.24441797502919</v>
      </c>
      <c r="S229" s="98">
        <v>23.019686272838801</v>
      </c>
      <c r="T229" s="67"/>
      <c r="U229" s="80" t="e">
        <f t="shared" si="56"/>
        <v>#N/A</v>
      </c>
      <c r="V229" s="78" t="e">
        <f t="shared" si="49"/>
        <v>#N/A</v>
      </c>
      <c r="W229" s="79" t="e">
        <f t="shared" si="50"/>
        <v>#N/A</v>
      </c>
      <c r="X229" s="17" t="e">
        <f t="shared" si="58"/>
        <v>#N/A</v>
      </c>
      <c r="Y229" s="43" t="e">
        <f t="shared" si="52"/>
        <v>#N/A</v>
      </c>
      <c r="Z229" s="16" t="e">
        <v>#N/A</v>
      </c>
      <c r="AA229" s="45" t="e">
        <f t="shared" si="40"/>
        <v>#N/A</v>
      </c>
    </row>
    <row r="230" spans="1:27" x14ac:dyDescent="0.2">
      <c r="A230" s="4">
        <f t="shared" si="47"/>
        <v>46327</v>
      </c>
      <c r="B230" s="26" t="e">
        <f>NA()</f>
        <v>#N/A</v>
      </c>
      <c r="C230" s="27" t="e">
        <f t="shared" si="41"/>
        <v>#N/A</v>
      </c>
      <c r="D230" s="11">
        <v>73.676702286593198</v>
      </c>
      <c r="E230" s="102">
        <f t="shared" si="53"/>
        <v>89.951252211213173</v>
      </c>
      <c r="F230" s="100">
        <v>0.81907367018742605</v>
      </c>
      <c r="G230" s="13"/>
      <c r="H230" s="18" t="e">
        <f t="shared" si="54"/>
        <v>#N/A</v>
      </c>
      <c r="I230" s="19" t="e">
        <f t="shared" si="42"/>
        <v>#N/A</v>
      </c>
      <c r="J230" s="20" t="e">
        <f t="shared" si="43"/>
        <v>#N/A</v>
      </c>
      <c r="K230" s="17" t="e">
        <f t="shared" si="57"/>
        <v>#N/A</v>
      </c>
      <c r="L230" s="43" t="e">
        <f t="shared" si="44"/>
        <v>#N/A</v>
      </c>
      <c r="M230" s="16" t="e">
        <v>#N/A</v>
      </c>
      <c r="N230" s="45" t="e">
        <f t="shared" si="46"/>
        <v>#N/A</v>
      </c>
      <c r="O230" s="51" t="e">
        <f>NA()</f>
        <v>#N/A</v>
      </c>
      <c r="P230" s="27" t="e">
        <f t="shared" si="48"/>
        <v>#N/A</v>
      </c>
      <c r="Q230" s="95">
        <v>311.99115851410198</v>
      </c>
      <c r="R230" s="109">
        <f t="shared" si="55"/>
        <v>295.8282107509869</v>
      </c>
      <c r="S230" s="98">
        <v>16.162947763115099</v>
      </c>
      <c r="T230" s="67"/>
      <c r="U230" s="80" t="e">
        <f t="shared" si="56"/>
        <v>#N/A</v>
      </c>
      <c r="V230" s="78" t="e">
        <f t="shared" si="49"/>
        <v>#N/A</v>
      </c>
      <c r="W230" s="79" t="e">
        <f t="shared" si="50"/>
        <v>#N/A</v>
      </c>
      <c r="X230" s="17" t="e">
        <f t="shared" si="58"/>
        <v>#N/A</v>
      </c>
      <c r="Y230" s="43" t="e">
        <f t="shared" si="52"/>
        <v>#N/A</v>
      </c>
      <c r="Z230" s="16" t="e">
        <v>#N/A</v>
      </c>
      <c r="AA230" s="45" t="e">
        <f t="shared" si="40"/>
        <v>#N/A</v>
      </c>
    </row>
    <row r="231" spans="1:27" x14ac:dyDescent="0.2">
      <c r="A231" s="4">
        <f t="shared" si="47"/>
        <v>46357</v>
      </c>
      <c r="B231" s="26" t="e">
        <f>NA()</f>
        <v>#N/A</v>
      </c>
      <c r="C231" s="27" t="e">
        <f t="shared" si="41"/>
        <v>#N/A</v>
      </c>
      <c r="D231" s="11">
        <v>72.305783827638706</v>
      </c>
      <c r="E231" s="102">
        <f t="shared" si="53"/>
        <v>79.928606639703446</v>
      </c>
      <c r="F231" s="100">
        <v>0.90462960468676301</v>
      </c>
      <c r="G231" s="13"/>
      <c r="H231" s="18" t="e">
        <f t="shared" si="54"/>
        <v>#N/A</v>
      </c>
      <c r="I231" s="19" t="e">
        <f t="shared" si="42"/>
        <v>#N/A</v>
      </c>
      <c r="J231" s="20" t="e">
        <f t="shared" si="43"/>
        <v>#N/A</v>
      </c>
      <c r="K231" s="17" t="e">
        <f t="shared" si="57"/>
        <v>#N/A</v>
      </c>
      <c r="L231" s="43" t="e">
        <f t="shared" si="44"/>
        <v>#N/A</v>
      </c>
      <c r="M231" s="16" t="e">
        <v>#N/A</v>
      </c>
      <c r="N231" s="45" t="e">
        <f t="shared" si="46"/>
        <v>#N/A</v>
      </c>
      <c r="O231" s="51" t="e">
        <f>NA()</f>
        <v>#N/A</v>
      </c>
      <c r="P231" s="27" t="e">
        <f t="shared" si="48"/>
        <v>#N/A</v>
      </c>
      <c r="Q231" s="95">
        <v>292.36308526273802</v>
      </c>
      <c r="R231" s="109">
        <f t="shared" si="55"/>
        <v>304.750304296281</v>
      </c>
      <c r="S231" s="98">
        <v>-12.387219033542999</v>
      </c>
      <c r="T231" s="67"/>
      <c r="U231" s="80" t="e">
        <f t="shared" si="56"/>
        <v>#N/A</v>
      </c>
      <c r="V231" s="78" t="e">
        <f t="shared" si="49"/>
        <v>#N/A</v>
      </c>
      <c r="W231" s="79" t="e">
        <f t="shared" si="50"/>
        <v>#N/A</v>
      </c>
      <c r="X231" s="17" t="e">
        <f t="shared" si="58"/>
        <v>#N/A</v>
      </c>
      <c r="Y231" s="43" t="e">
        <f t="shared" si="52"/>
        <v>#N/A</v>
      </c>
      <c r="Z231" s="16" t="e">
        <v>#N/A</v>
      </c>
      <c r="AA231" s="45" t="e">
        <f t="shared" si="40"/>
        <v>#N/A</v>
      </c>
    </row>
    <row r="232" spans="1:27" x14ac:dyDescent="0.2">
      <c r="A232" s="4">
        <f t="shared" si="47"/>
        <v>46388</v>
      </c>
      <c r="B232" s="26" t="e">
        <f>NA()</f>
        <v>#N/A</v>
      </c>
      <c r="C232" s="27" t="e">
        <f t="shared" si="41"/>
        <v>#N/A</v>
      </c>
      <c r="D232" s="11">
        <v>76.683499668473502</v>
      </c>
      <c r="E232" s="102">
        <f t="shared" si="53"/>
        <v>82.320416811208503</v>
      </c>
      <c r="F232" s="100">
        <v>0.93152467685310003</v>
      </c>
      <c r="G232" s="13"/>
      <c r="H232" s="18" t="e">
        <f t="shared" si="54"/>
        <v>#N/A</v>
      </c>
      <c r="I232" s="19" t="e">
        <f t="shared" si="42"/>
        <v>#N/A</v>
      </c>
      <c r="J232" s="20" t="e">
        <f t="shared" si="43"/>
        <v>#N/A</v>
      </c>
      <c r="K232" s="17" t="e">
        <f t="shared" si="57"/>
        <v>#N/A</v>
      </c>
      <c r="L232" s="43" t="e">
        <f t="shared" si="44"/>
        <v>#N/A</v>
      </c>
      <c r="M232" s="16" t="e">
        <v>#N/A</v>
      </c>
      <c r="N232" s="45" t="e">
        <f t="shared" si="46"/>
        <v>#N/A</v>
      </c>
      <c r="O232" s="51" t="e">
        <f>NA()</f>
        <v>#N/A</v>
      </c>
      <c r="P232" s="27" t="e">
        <f t="shared" si="48"/>
        <v>#N/A</v>
      </c>
      <c r="Q232" s="95">
        <v>280.56104516464899</v>
      </c>
      <c r="R232" s="109">
        <f t="shared" si="55"/>
        <v>300.43765571575767</v>
      </c>
      <c r="S232" s="98">
        <v>-19.876610551108701</v>
      </c>
      <c r="T232" s="67"/>
      <c r="U232" s="80" t="e">
        <f t="shared" si="56"/>
        <v>#N/A</v>
      </c>
      <c r="V232" s="78" t="e">
        <f t="shared" si="49"/>
        <v>#N/A</v>
      </c>
      <c r="W232" s="79" t="e">
        <f t="shared" si="50"/>
        <v>#N/A</v>
      </c>
      <c r="X232" s="17" t="e">
        <f t="shared" si="58"/>
        <v>#N/A</v>
      </c>
      <c r="Y232" s="43" t="e">
        <f t="shared" si="52"/>
        <v>#N/A</v>
      </c>
      <c r="Z232" s="16" t="e">
        <v>#N/A</v>
      </c>
      <c r="AA232" s="45" t="e">
        <f t="shared" ref="AA232:AA295" si="59">(X232/X220)-1</f>
        <v>#N/A</v>
      </c>
    </row>
    <row r="233" spans="1:27" x14ac:dyDescent="0.2">
      <c r="A233" s="4">
        <f t="shared" si="47"/>
        <v>46419</v>
      </c>
      <c r="B233" s="26" t="e">
        <f>NA()</f>
        <v>#N/A</v>
      </c>
      <c r="C233" s="27" t="e">
        <f t="shared" si="41"/>
        <v>#N/A</v>
      </c>
      <c r="D233" s="11">
        <v>74.556968663084106</v>
      </c>
      <c r="E233" s="102">
        <f t="shared" si="53"/>
        <v>91.772095098450222</v>
      </c>
      <c r="F233" s="100">
        <v>0.81241436825760305</v>
      </c>
      <c r="G233" s="13"/>
      <c r="H233" s="18" t="e">
        <f t="shared" si="54"/>
        <v>#N/A</v>
      </c>
      <c r="I233" s="19" t="e">
        <f t="shared" si="42"/>
        <v>#N/A</v>
      </c>
      <c r="J233" s="20" t="e">
        <f t="shared" si="43"/>
        <v>#N/A</v>
      </c>
      <c r="K233" s="17" t="e">
        <f t="shared" si="57"/>
        <v>#N/A</v>
      </c>
      <c r="L233" s="43" t="e">
        <f t="shared" si="44"/>
        <v>#N/A</v>
      </c>
      <c r="M233" s="16" t="e">
        <v>#N/A</v>
      </c>
      <c r="N233" s="45" t="e">
        <f t="shared" si="46"/>
        <v>#N/A</v>
      </c>
      <c r="O233" s="51" t="e">
        <f>NA()</f>
        <v>#N/A</v>
      </c>
      <c r="P233" s="27" t="e">
        <f t="shared" si="48"/>
        <v>#N/A</v>
      </c>
      <c r="Q233" s="95">
        <v>261.902299821729</v>
      </c>
      <c r="R233" s="109">
        <f t="shared" si="55"/>
        <v>299.13992506184923</v>
      </c>
      <c r="S233" s="98">
        <v>-37.237625240120202</v>
      </c>
      <c r="T233" s="67"/>
      <c r="U233" s="80" t="e">
        <f t="shared" si="56"/>
        <v>#N/A</v>
      </c>
      <c r="V233" s="78" t="e">
        <f t="shared" si="49"/>
        <v>#N/A</v>
      </c>
      <c r="W233" s="79" t="e">
        <f t="shared" si="50"/>
        <v>#N/A</v>
      </c>
      <c r="X233" s="17" t="e">
        <f t="shared" si="58"/>
        <v>#N/A</v>
      </c>
      <c r="Y233" s="43" t="e">
        <f t="shared" si="52"/>
        <v>#N/A</v>
      </c>
      <c r="Z233" s="16" t="e">
        <v>#N/A</v>
      </c>
      <c r="AA233" s="45" t="e">
        <f t="shared" si="59"/>
        <v>#N/A</v>
      </c>
    </row>
    <row r="234" spans="1:27" x14ac:dyDescent="0.2">
      <c r="A234" s="4">
        <f t="shared" si="47"/>
        <v>46447</v>
      </c>
      <c r="B234" s="26" t="e">
        <f>NA()</f>
        <v>#N/A</v>
      </c>
      <c r="C234" s="27" t="e">
        <f t="shared" si="41"/>
        <v>#N/A</v>
      </c>
      <c r="D234" s="11">
        <v>78.447539451942404</v>
      </c>
      <c r="E234" s="102">
        <f t="shared" si="53"/>
        <v>85.840517057809677</v>
      </c>
      <c r="F234" s="100">
        <v>0.91387543016675399</v>
      </c>
      <c r="G234" s="13"/>
      <c r="H234" s="18" t="e">
        <f t="shared" si="54"/>
        <v>#N/A</v>
      </c>
      <c r="I234" s="19" t="e">
        <f t="shared" si="42"/>
        <v>#N/A</v>
      </c>
      <c r="J234" s="20" t="e">
        <f t="shared" si="43"/>
        <v>#N/A</v>
      </c>
      <c r="K234" s="17" t="e">
        <f t="shared" si="57"/>
        <v>#N/A</v>
      </c>
      <c r="L234" s="43" t="e">
        <f t="shared" si="44"/>
        <v>#N/A</v>
      </c>
      <c r="M234" s="16" t="e">
        <v>#N/A</v>
      </c>
      <c r="N234" s="45" t="e">
        <f t="shared" si="46"/>
        <v>#N/A</v>
      </c>
      <c r="O234" s="51" t="e">
        <f>NA()</f>
        <v>#N/A</v>
      </c>
      <c r="P234" s="27" t="e">
        <f t="shared" si="48"/>
        <v>#N/A</v>
      </c>
      <c r="Q234" s="95">
        <v>267.67584755700301</v>
      </c>
      <c r="R234" s="109">
        <f t="shared" si="55"/>
        <v>302.94085214415452</v>
      </c>
      <c r="S234" s="98">
        <v>-35.265004587151502</v>
      </c>
      <c r="T234" s="67"/>
      <c r="U234" s="80" t="e">
        <f t="shared" si="56"/>
        <v>#N/A</v>
      </c>
      <c r="V234" s="78" t="e">
        <f t="shared" si="49"/>
        <v>#N/A</v>
      </c>
      <c r="W234" s="79" t="e">
        <f t="shared" si="50"/>
        <v>#N/A</v>
      </c>
      <c r="X234" s="17" t="e">
        <f t="shared" si="58"/>
        <v>#N/A</v>
      </c>
      <c r="Y234" s="43" t="e">
        <f t="shared" si="52"/>
        <v>#N/A</v>
      </c>
      <c r="Z234" s="16" t="e">
        <v>#N/A</v>
      </c>
      <c r="AA234" s="45" t="e">
        <f t="shared" si="59"/>
        <v>#N/A</v>
      </c>
    </row>
    <row r="235" spans="1:27" x14ac:dyDescent="0.2">
      <c r="A235" s="4">
        <f t="shared" si="47"/>
        <v>46478</v>
      </c>
      <c r="B235" s="26" t="e">
        <f>NA()</f>
        <v>#N/A</v>
      </c>
      <c r="C235" s="27" t="e">
        <f t="shared" si="41"/>
        <v>#N/A</v>
      </c>
      <c r="D235" s="11">
        <v>75.881768202798</v>
      </c>
      <c r="E235" s="102">
        <f t="shared" si="53"/>
        <v>77.843227156183559</v>
      </c>
      <c r="F235" s="100">
        <v>0.97480244556857698</v>
      </c>
      <c r="G235" s="13"/>
      <c r="H235" s="18" t="e">
        <f t="shared" si="54"/>
        <v>#N/A</v>
      </c>
      <c r="I235" s="19" t="e">
        <f t="shared" si="42"/>
        <v>#N/A</v>
      </c>
      <c r="J235" s="20" t="e">
        <f t="shared" si="43"/>
        <v>#N/A</v>
      </c>
      <c r="K235" s="17" t="e">
        <f t="shared" si="57"/>
        <v>#N/A</v>
      </c>
      <c r="L235" s="43" t="e">
        <f t="shared" si="44"/>
        <v>#N/A</v>
      </c>
      <c r="M235" s="16" t="e">
        <v>#N/A</v>
      </c>
      <c r="N235" s="45" t="e">
        <f t="shared" si="46"/>
        <v>#N/A</v>
      </c>
      <c r="O235" s="51" t="e">
        <f>NA()</f>
        <v>#N/A</v>
      </c>
      <c r="P235" s="27" t="e">
        <f t="shared" si="48"/>
        <v>#N/A</v>
      </c>
      <c r="Q235" s="95">
        <v>243.43086750664699</v>
      </c>
      <c r="R235" s="109">
        <f t="shared" si="55"/>
        <v>308.19473600250018</v>
      </c>
      <c r="S235" s="98">
        <v>-64.763868495853202</v>
      </c>
      <c r="T235" s="67"/>
      <c r="U235" s="80" t="e">
        <f t="shared" si="56"/>
        <v>#N/A</v>
      </c>
      <c r="V235" s="78" t="e">
        <f t="shared" si="49"/>
        <v>#N/A</v>
      </c>
      <c r="W235" s="79" t="e">
        <f t="shared" si="50"/>
        <v>#N/A</v>
      </c>
      <c r="X235" s="17" t="e">
        <f t="shared" si="58"/>
        <v>#N/A</v>
      </c>
      <c r="Y235" s="43" t="e">
        <f t="shared" si="52"/>
        <v>#N/A</v>
      </c>
      <c r="Z235" s="16" t="e">
        <v>#N/A</v>
      </c>
      <c r="AA235" s="45" t="e">
        <f t="shared" si="59"/>
        <v>#N/A</v>
      </c>
    </row>
    <row r="236" spans="1:27" x14ac:dyDescent="0.2">
      <c r="A236" s="4">
        <f t="shared" si="47"/>
        <v>46508</v>
      </c>
      <c r="B236" s="26" t="e">
        <f>NA()</f>
        <v>#N/A</v>
      </c>
      <c r="C236" s="27" t="e">
        <f t="shared" si="41"/>
        <v>#N/A</v>
      </c>
      <c r="D236" s="11">
        <v>79.465176423616299</v>
      </c>
      <c r="E236" s="102">
        <f t="shared" si="53"/>
        <v>76.28197981737334</v>
      </c>
      <c r="F236" s="100">
        <v>1.04172933914227</v>
      </c>
      <c r="G236" s="13"/>
      <c r="H236" s="18" t="e">
        <f t="shared" si="54"/>
        <v>#N/A</v>
      </c>
      <c r="I236" s="19" t="e">
        <f t="shared" si="42"/>
        <v>#N/A</v>
      </c>
      <c r="J236" s="20" t="e">
        <f t="shared" si="43"/>
        <v>#N/A</v>
      </c>
      <c r="K236" s="17" t="e">
        <f t="shared" si="57"/>
        <v>#N/A</v>
      </c>
      <c r="L236" s="43" t="e">
        <f t="shared" si="44"/>
        <v>#N/A</v>
      </c>
      <c r="M236" s="16" t="e">
        <v>#N/A</v>
      </c>
      <c r="N236" s="45" t="e">
        <f t="shared" si="46"/>
        <v>#N/A</v>
      </c>
      <c r="O236" s="51" t="e">
        <f>NA()</f>
        <v>#N/A</v>
      </c>
      <c r="P236" s="27" t="e">
        <f t="shared" si="48"/>
        <v>#N/A</v>
      </c>
      <c r="Q236" s="95">
        <v>275.17554693315799</v>
      </c>
      <c r="R236" s="109">
        <f t="shared" si="55"/>
        <v>298.45425686900069</v>
      </c>
      <c r="S236" s="98">
        <v>-23.278709935842699</v>
      </c>
      <c r="T236" s="67"/>
      <c r="U236" s="80" t="e">
        <f t="shared" si="56"/>
        <v>#N/A</v>
      </c>
      <c r="V236" s="78" t="e">
        <f t="shared" si="49"/>
        <v>#N/A</v>
      </c>
      <c r="W236" s="79" t="e">
        <f t="shared" si="50"/>
        <v>#N/A</v>
      </c>
      <c r="X236" s="17" t="e">
        <f t="shared" si="58"/>
        <v>#N/A</v>
      </c>
      <c r="Y236" s="43" t="e">
        <f t="shared" si="52"/>
        <v>#N/A</v>
      </c>
      <c r="Z236" s="16" t="e">
        <v>#N/A</v>
      </c>
      <c r="AA236" s="45" t="e">
        <f t="shared" si="59"/>
        <v>#N/A</v>
      </c>
    </row>
    <row r="237" spans="1:27" x14ac:dyDescent="0.2">
      <c r="A237" s="4">
        <f t="shared" si="47"/>
        <v>46539</v>
      </c>
      <c r="B237" s="26" t="e">
        <f>NA()</f>
        <v>#N/A</v>
      </c>
      <c r="C237" s="27" t="e">
        <f t="shared" si="41"/>
        <v>#N/A</v>
      </c>
      <c r="D237" s="11">
        <v>76.656675960393301</v>
      </c>
      <c r="E237" s="102">
        <f t="shared" si="53"/>
        <v>61.713635585959722</v>
      </c>
      <c r="F237" s="100">
        <v>1.24213514942933</v>
      </c>
      <c r="G237" s="13"/>
      <c r="H237" s="18" t="e">
        <f t="shared" si="54"/>
        <v>#N/A</v>
      </c>
      <c r="I237" s="19" t="e">
        <f t="shared" si="42"/>
        <v>#N/A</v>
      </c>
      <c r="J237" s="20" t="e">
        <f t="shared" si="43"/>
        <v>#N/A</v>
      </c>
      <c r="K237" s="17" t="e">
        <f t="shared" si="57"/>
        <v>#N/A</v>
      </c>
      <c r="L237" s="43" t="e">
        <f t="shared" si="44"/>
        <v>#N/A</v>
      </c>
      <c r="M237" s="16" t="e">
        <v>#N/A</v>
      </c>
      <c r="N237" s="45" t="e">
        <f t="shared" si="46"/>
        <v>#N/A</v>
      </c>
      <c r="O237" s="51" t="e">
        <f>NA()</f>
        <v>#N/A</v>
      </c>
      <c r="P237" s="27" t="e">
        <f t="shared" si="48"/>
        <v>#N/A</v>
      </c>
      <c r="Q237" s="95">
        <v>313.24768372317999</v>
      </c>
      <c r="R237" s="109">
        <f t="shared" si="55"/>
        <v>302.05521685540577</v>
      </c>
      <c r="S237" s="98">
        <v>11.192466867774201</v>
      </c>
      <c r="T237" s="67"/>
      <c r="U237" s="80" t="e">
        <f t="shared" si="56"/>
        <v>#N/A</v>
      </c>
      <c r="V237" s="78" t="e">
        <f t="shared" si="49"/>
        <v>#N/A</v>
      </c>
      <c r="W237" s="79" t="e">
        <f t="shared" si="50"/>
        <v>#N/A</v>
      </c>
      <c r="X237" s="17" t="e">
        <f t="shared" si="58"/>
        <v>#N/A</v>
      </c>
      <c r="Y237" s="43" t="e">
        <f t="shared" si="52"/>
        <v>#N/A</v>
      </c>
      <c r="Z237" s="16" t="e">
        <v>#N/A</v>
      </c>
      <c r="AA237" s="45" t="e">
        <f t="shared" si="59"/>
        <v>#N/A</v>
      </c>
    </row>
    <row r="238" spans="1:27" x14ac:dyDescent="0.2">
      <c r="A238" s="4">
        <f t="shared" si="47"/>
        <v>46569</v>
      </c>
      <c r="B238" s="26" t="e">
        <f>NA()</f>
        <v>#N/A</v>
      </c>
      <c r="C238" s="27" t="e">
        <f t="shared" si="41"/>
        <v>#N/A</v>
      </c>
      <c r="D238" s="11">
        <v>80.044305522039593</v>
      </c>
      <c r="E238" s="102">
        <f t="shared" si="53"/>
        <v>63.80836813054821</v>
      </c>
      <c r="F238" s="100">
        <v>1.25444840335477</v>
      </c>
      <c r="G238" s="13"/>
      <c r="H238" s="18" t="e">
        <f t="shared" si="54"/>
        <v>#N/A</v>
      </c>
      <c r="I238" s="19" t="e">
        <f t="shared" si="42"/>
        <v>#N/A</v>
      </c>
      <c r="J238" s="20" t="e">
        <f t="shared" si="43"/>
        <v>#N/A</v>
      </c>
      <c r="K238" s="17" t="e">
        <f t="shared" si="57"/>
        <v>#N/A</v>
      </c>
      <c r="L238" s="43" t="e">
        <f t="shared" si="44"/>
        <v>#N/A</v>
      </c>
      <c r="M238" s="16" t="e">
        <v>#N/A</v>
      </c>
      <c r="N238" s="45" t="e">
        <f t="shared" si="46"/>
        <v>#N/A</v>
      </c>
      <c r="O238" s="51" t="e">
        <f>NA()</f>
        <v>#N/A</v>
      </c>
      <c r="P238" s="27" t="e">
        <f t="shared" si="48"/>
        <v>#N/A</v>
      </c>
      <c r="Q238" s="95">
        <v>349.89866806332998</v>
      </c>
      <c r="R238" s="109">
        <f t="shared" si="55"/>
        <v>298.19087440682068</v>
      </c>
      <c r="S238" s="98">
        <v>51.707793656509303</v>
      </c>
      <c r="T238" s="67"/>
      <c r="U238" s="80" t="e">
        <f t="shared" si="56"/>
        <v>#N/A</v>
      </c>
      <c r="V238" s="78" t="e">
        <f t="shared" si="49"/>
        <v>#N/A</v>
      </c>
      <c r="W238" s="79" t="e">
        <f t="shared" si="50"/>
        <v>#N/A</v>
      </c>
      <c r="X238" s="17" t="e">
        <f t="shared" si="58"/>
        <v>#N/A</v>
      </c>
      <c r="Y238" s="43" t="e">
        <f t="shared" si="52"/>
        <v>#N/A</v>
      </c>
      <c r="Z238" s="16" t="e">
        <v>#N/A</v>
      </c>
      <c r="AA238" s="45" t="e">
        <f t="shared" si="59"/>
        <v>#N/A</v>
      </c>
    </row>
    <row r="239" spans="1:27" x14ac:dyDescent="0.2">
      <c r="A239" s="4">
        <f t="shared" si="47"/>
        <v>46600</v>
      </c>
      <c r="B239" s="26" t="e">
        <f>NA()</f>
        <v>#N/A</v>
      </c>
      <c r="C239" s="27" t="e">
        <f t="shared" si="41"/>
        <v>#N/A</v>
      </c>
      <c r="D239" s="11" t="e">
        <v>#N/A</v>
      </c>
      <c r="E239" s="102" t="e">
        <f t="shared" si="53"/>
        <v>#N/A</v>
      </c>
      <c r="F239" s="100">
        <f>F227</f>
        <v>1.1189235320814399</v>
      </c>
      <c r="G239" s="13"/>
      <c r="H239" s="18" t="e">
        <f t="shared" si="54"/>
        <v>#N/A</v>
      </c>
      <c r="I239" s="19" t="e">
        <f t="shared" si="42"/>
        <v>#N/A</v>
      </c>
      <c r="J239" s="20" t="e">
        <f t="shared" si="43"/>
        <v>#N/A</v>
      </c>
      <c r="K239" s="17" t="e">
        <f t="shared" si="57"/>
        <v>#N/A</v>
      </c>
      <c r="L239" s="43" t="e">
        <f t="shared" si="44"/>
        <v>#N/A</v>
      </c>
      <c r="M239" s="16" t="e">
        <v>#N/A</v>
      </c>
      <c r="N239" s="45" t="e">
        <f t="shared" si="46"/>
        <v>#N/A</v>
      </c>
      <c r="O239" s="51" t="e">
        <f>NA()</f>
        <v>#N/A</v>
      </c>
      <c r="P239" s="27" t="e">
        <f t="shared" si="48"/>
        <v>#N/A</v>
      </c>
      <c r="Q239" s="95" t="e">
        <v>#N/A</v>
      </c>
      <c r="R239" s="109" t="e">
        <f t="shared" si="55"/>
        <v>#N/A</v>
      </c>
      <c r="S239" s="98">
        <f>S227</f>
        <v>60.198222910918801</v>
      </c>
      <c r="T239" s="67"/>
      <c r="U239" s="80" t="e">
        <f t="shared" si="56"/>
        <v>#N/A</v>
      </c>
      <c r="V239" s="78" t="e">
        <f t="shared" si="49"/>
        <v>#N/A</v>
      </c>
      <c r="W239" s="79" t="e">
        <f t="shared" si="50"/>
        <v>#N/A</v>
      </c>
      <c r="X239" s="17" t="e">
        <f t="shared" si="58"/>
        <v>#N/A</v>
      </c>
      <c r="Y239" s="43" t="e">
        <f t="shared" si="52"/>
        <v>#N/A</v>
      </c>
      <c r="Z239" s="16" t="e">
        <v>#N/A</v>
      </c>
      <c r="AA239" s="45" t="e">
        <f t="shared" si="59"/>
        <v>#N/A</v>
      </c>
    </row>
    <row r="240" spans="1:27" x14ac:dyDescent="0.2">
      <c r="A240" s="4">
        <f t="shared" si="47"/>
        <v>46631</v>
      </c>
      <c r="B240" s="26" t="e">
        <f>NA()</f>
        <v>#N/A</v>
      </c>
      <c r="C240" s="27" t="e">
        <f t="shared" si="41"/>
        <v>#N/A</v>
      </c>
      <c r="D240" s="11" t="e">
        <v>#N/A</v>
      </c>
      <c r="E240" s="102" t="e">
        <f t="shared" si="53"/>
        <v>#N/A</v>
      </c>
      <c r="F240" s="100">
        <f t="shared" ref="F240:F243" si="60">F228</f>
        <v>1.0479215687196599</v>
      </c>
      <c r="G240" s="13"/>
      <c r="H240" s="18" t="e">
        <f t="shared" si="54"/>
        <v>#N/A</v>
      </c>
      <c r="I240" s="19" t="e">
        <f t="shared" si="42"/>
        <v>#N/A</v>
      </c>
      <c r="J240" s="20" t="e">
        <f t="shared" si="43"/>
        <v>#N/A</v>
      </c>
      <c r="K240" s="17" t="e">
        <f t="shared" si="57"/>
        <v>#N/A</v>
      </c>
      <c r="L240" s="43" t="e">
        <f t="shared" si="44"/>
        <v>#N/A</v>
      </c>
      <c r="M240" s="16" t="e">
        <v>#N/A</v>
      </c>
      <c r="N240" s="45" t="e">
        <f t="shared" si="46"/>
        <v>#N/A</v>
      </c>
      <c r="O240" s="51" t="e">
        <f>NA()</f>
        <v>#N/A</v>
      </c>
      <c r="P240" s="27" t="e">
        <f t="shared" si="48"/>
        <v>#N/A</v>
      </c>
      <c r="Q240" s="95" t="e">
        <v>#N/A</v>
      </c>
      <c r="R240" s="109" t="e">
        <f t="shared" si="55"/>
        <v>#N/A</v>
      </c>
      <c r="S240" s="98">
        <f t="shared" ref="S240:S243" si="61">S228</f>
        <v>31.081946256700999</v>
      </c>
      <c r="T240" s="67"/>
      <c r="U240" s="80" t="e">
        <f t="shared" si="56"/>
        <v>#N/A</v>
      </c>
      <c r="V240" s="78" t="e">
        <f t="shared" si="49"/>
        <v>#N/A</v>
      </c>
      <c r="W240" s="79" t="e">
        <f t="shared" si="50"/>
        <v>#N/A</v>
      </c>
      <c r="X240" s="17" t="e">
        <f t="shared" si="58"/>
        <v>#N/A</v>
      </c>
      <c r="Y240" s="43" t="e">
        <f t="shared" si="52"/>
        <v>#N/A</v>
      </c>
      <c r="Z240" s="16" t="e">
        <v>#N/A</v>
      </c>
      <c r="AA240" s="45" t="e">
        <f t="shared" si="59"/>
        <v>#N/A</v>
      </c>
    </row>
    <row r="241" spans="1:27" x14ac:dyDescent="0.2">
      <c r="A241" s="4">
        <f t="shared" si="47"/>
        <v>46661</v>
      </c>
      <c r="B241" s="26" t="e">
        <f>NA()</f>
        <v>#N/A</v>
      </c>
      <c r="C241" s="27" t="e">
        <f t="shared" si="41"/>
        <v>#N/A</v>
      </c>
      <c r="D241" s="11" t="e">
        <v>#N/A</v>
      </c>
      <c r="E241" s="102" t="e">
        <f t="shared" si="53"/>
        <v>#N/A</v>
      </c>
      <c r="F241" s="100">
        <f t="shared" si="60"/>
        <v>0.92868039943088099</v>
      </c>
      <c r="G241" s="13"/>
      <c r="H241" s="18" t="e">
        <f t="shared" si="54"/>
        <v>#N/A</v>
      </c>
      <c r="I241" s="19" t="e">
        <f t="shared" si="42"/>
        <v>#N/A</v>
      </c>
      <c r="J241" s="20" t="e">
        <f t="shared" si="43"/>
        <v>#N/A</v>
      </c>
      <c r="K241" s="17" t="e">
        <f t="shared" si="57"/>
        <v>#N/A</v>
      </c>
      <c r="L241" s="43" t="e">
        <f t="shared" si="44"/>
        <v>#N/A</v>
      </c>
      <c r="M241" s="16" t="e">
        <v>#N/A</v>
      </c>
      <c r="N241" s="45" t="e">
        <f t="shared" si="46"/>
        <v>#N/A</v>
      </c>
      <c r="O241" s="51" t="e">
        <f>NA()</f>
        <v>#N/A</v>
      </c>
      <c r="P241" s="27" t="e">
        <f t="shared" si="48"/>
        <v>#N/A</v>
      </c>
      <c r="Q241" s="95" t="e">
        <v>#N/A</v>
      </c>
      <c r="R241" s="109" t="e">
        <f t="shared" si="55"/>
        <v>#N/A</v>
      </c>
      <c r="S241" s="98">
        <f t="shared" si="61"/>
        <v>23.019686272838801</v>
      </c>
      <c r="T241" s="67"/>
      <c r="U241" s="80" t="e">
        <f t="shared" si="56"/>
        <v>#N/A</v>
      </c>
      <c r="V241" s="78" t="e">
        <f t="shared" si="49"/>
        <v>#N/A</v>
      </c>
      <c r="W241" s="79" t="e">
        <f t="shared" si="50"/>
        <v>#N/A</v>
      </c>
      <c r="X241" s="17" t="e">
        <f t="shared" si="58"/>
        <v>#N/A</v>
      </c>
      <c r="Y241" s="43" t="e">
        <f t="shared" si="52"/>
        <v>#N/A</v>
      </c>
      <c r="Z241" s="16" t="e">
        <v>#N/A</v>
      </c>
      <c r="AA241" s="45" t="e">
        <f t="shared" si="59"/>
        <v>#N/A</v>
      </c>
    </row>
    <row r="242" spans="1:27" x14ac:dyDescent="0.2">
      <c r="A242" s="4">
        <f t="shared" si="47"/>
        <v>46692</v>
      </c>
      <c r="B242" s="26" t="e">
        <f>NA()</f>
        <v>#N/A</v>
      </c>
      <c r="C242" s="27" t="e">
        <f t="shared" si="41"/>
        <v>#N/A</v>
      </c>
      <c r="D242" s="11" t="e">
        <v>#N/A</v>
      </c>
      <c r="E242" s="102" t="e">
        <f t="shared" si="53"/>
        <v>#N/A</v>
      </c>
      <c r="F242" s="100">
        <f t="shared" si="60"/>
        <v>0.81907367018742605</v>
      </c>
      <c r="G242" s="13"/>
      <c r="H242" s="18" t="e">
        <f t="shared" si="54"/>
        <v>#N/A</v>
      </c>
      <c r="I242" s="19" t="e">
        <f t="shared" si="42"/>
        <v>#N/A</v>
      </c>
      <c r="J242" s="20" t="e">
        <f t="shared" si="43"/>
        <v>#N/A</v>
      </c>
      <c r="K242" s="17" t="e">
        <f t="shared" si="57"/>
        <v>#N/A</v>
      </c>
      <c r="L242" s="43" t="e">
        <f t="shared" si="44"/>
        <v>#N/A</v>
      </c>
      <c r="M242" s="16" t="e">
        <v>#N/A</v>
      </c>
      <c r="N242" s="45" t="e">
        <f t="shared" si="46"/>
        <v>#N/A</v>
      </c>
      <c r="O242" s="51" t="e">
        <f>NA()</f>
        <v>#N/A</v>
      </c>
      <c r="P242" s="27" t="e">
        <f t="shared" si="48"/>
        <v>#N/A</v>
      </c>
      <c r="Q242" s="95" t="e">
        <v>#N/A</v>
      </c>
      <c r="R242" s="109" t="e">
        <f t="shared" si="55"/>
        <v>#N/A</v>
      </c>
      <c r="S242" s="98">
        <f t="shared" si="61"/>
        <v>16.162947763115099</v>
      </c>
      <c r="T242" s="67"/>
      <c r="U242" s="80" t="e">
        <f t="shared" si="56"/>
        <v>#N/A</v>
      </c>
      <c r="V242" s="78" t="e">
        <f t="shared" si="49"/>
        <v>#N/A</v>
      </c>
      <c r="W242" s="79" t="e">
        <f t="shared" si="50"/>
        <v>#N/A</v>
      </c>
      <c r="X242" s="17" t="e">
        <f t="shared" si="58"/>
        <v>#N/A</v>
      </c>
      <c r="Y242" s="43" t="e">
        <f t="shared" si="52"/>
        <v>#N/A</v>
      </c>
      <c r="Z242" s="16" t="e">
        <v>#N/A</v>
      </c>
      <c r="AA242" s="45" t="e">
        <f t="shared" si="59"/>
        <v>#N/A</v>
      </c>
    </row>
    <row r="243" spans="1:27" x14ac:dyDescent="0.2">
      <c r="A243" s="4">
        <f t="shared" si="47"/>
        <v>46722</v>
      </c>
      <c r="B243" s="26" t="e">
        <f>NA()</f>
        <v>#N/A</v>
      </c>
      <c r="C243" s="27" t="e">
        <f t="shared" si="41"/>
        <v>#N/A</v>
      </c>
      <c r="D243" s="11" t="e">
        <v>#N/A</v>
      </c>
      <c r="E243" s="102" t="e">
        <f t="shared" si="53"/>
        <v>#N/A</v>
      </c>
      <c r="F243" s="100">
        <f t="shared" si="60"/>
        <v>0.90462960468676301</v>
      </c>
      <c r="G243" s="13"/>
      <c r="H243" s="18" t="e">
        <f t="shared" si="54"/>
        <v>#N/A</v>
      </c>
      <c r="I243" s="19" t="e">
        <f t="shared" si="42"/>
        <v>#N/A</v>
      </c>
      <c r="J243" s="20" t="e">
        <f t="shared" si="43"/>
        <v>#N/A</v>
      </c>
      <c r="K243" s="17" t="e">
        <f t="shared" si="57"/>
        <v>#N/A</v>
      </c>
      <c r="L243" s="43" t="e">
        <f t="shared" si="44"/>
        <v>#N/A</v>
      </c>
      <c r="M243" s="16" t="e">
        <v>#N/A</v>
      </c>
      <c r="N243" s="45" t="e">
        <f t="shared" si="46"/>
        <v>#N/A</v>
      </c>
      <c r="O243" s="51" t="e">
        <f>NA()</f>
        <v>#N/A</v>
      </c>
      <c r="P243" s="27" t="e">
        <f t="shared" si="48"/>
        <v>#N/A</v>
      </c>
      <c r="Q243" s="95" t="e">
        <v>#N/A</v>
      </c>
      <c r="R243" s="109" t="e">
        <f t="shared" si="55"/>
        <v>#N/A</v>
      </c>
      <c r="S243" s="98">
        <f t="shared" si="61"/>
        <v>-12.387219033542999</v>
      </c>
      <c r="T243" s="67"/>
      <c r="U243" s="80" t="e">
        <f t="shared" si="56"/>
        <v>#N/A</v>
      </c>
      <c r="V243" s="78" t="e">
        <f t="shared" si="49"/>
        <v>#N/A</v>
      </c>
      <c r="W243" s="79" t="e">
        <f t="shared" si="50"/>
        <v>#N/A</v>
      </c>
      <c r="X243" s="17" t="e">
        <f t="shared" si="58"/>
        <v>#N/A</v>
      </c>
      <c r="Y243" s="43" t="e">
        <f t="shared" si="52"/>
        <v>#N/A</v>
      </c>
      <c r="Z243" s="16" t="e">
        <v>#N/A</v>
      </c>
      <c r="AA243" s="45" t="e">
        <f t="shared" si="59"/>
        <v>#N/A</v>
      </c>
    </row>
  </sheetData>
  <mergeCells count="22">
    <mergeCell ref="L2:L3"/>
    <mergeCell ref="M2:M3"/>
    <mergeCell ref="N2:N3"/>
    <mergeCell ref="O2:O3"/>
    <mergeCell ref="B2:B3"/>
    <mergeCell ref="D2:D3"/>
    <mergeCell ref="E2:E3"/>
    <mergeCell ref="G2:G3"/>
    <mergeCell ref="H2:H3"/>
    <mergeCell ref="I2:I3"/>
    <mergeCell ref="J2:J3"/>
    <mergeCell ref="K2:K3"/>
    <mergeCell ref="X2:X3"/>
    <mergeCell ref="Y2:Y3"/>
    <mergeCell ref="Z2:Z3"/>
    <mergeCell ref="AA2:AA3"/>
    <mergeCell ref="Q2:Q3"/>
    <mergeCell ref="R2:R3"/>
    <mergeCell ref="T2:T3"/>
    <mergeCell ref="U2:U3"/>
    <mergeCell ref="V2:V3"/>
    <mergeCell ref="W2:W3"/>
  </mergeCells>
  <pageMargins left="0.75" right="0.75" top="1" bottom="1" header="0" footer="0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CA5EAACE9DA04D9E421A617A76D009" ma:contentTypeVersion="19" ma:contentTypeDescription="Crear nuevo documento." ma:contentTypeScope="" ma:versionID="f76b87d8f803ec01972d4c4d38f87fe2">
  <xsd:schema xmlns:xsd="http://www.w3.org/2001/XMLSchema" xmlns:xs="http://www.w3.org/2001/XMLSchema" xmlns:p="http://schemas.microsoft.com/office/2006/metadata/properties" xmlns:ns2="77131357-5c03-45fa-a80b-b9111bb46cb1" xmlns:ns3="d3f11db4-a96c-41b4-b8ec-902c72f52048" targetNamespace="http://schemas.microsoft.com/office/2006/metadata/properties" ma:root="true" ma:fieldsID="89c3ec750eafe9623f1f4f51d70608f2" ns2:_="" ns3:_="">
    <xsd:import namespace="77131357-5c03-45fa-a80b-b9111bb46cb1"/>
    <xsd:import namespace="d3f11db4-a96c-41b4-b8ec-902c72f520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31357-5c03-45fa-a80b-b9111bb46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6ab20cb4-9c0f-41d2-89f3-02c382a657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11db4-a96c-41b4-b8ec-902c72f5204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c6aff7b-77d9-4645-af3f-7b0008d975fa}" ma:internalName="TaxCatchAll" ma:showField="CatchAllData" ma:web="d3f11db4-a96c-41b4-b8ec-902c72f520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7131357-5c03-45fa-a80b-b9111bb46cb1" xsi:nil="true"/>
    <TaxCatchAll xmlns="d3f11db4-a96c-41b4-b8ec-902c72f52048" xsi:nil="true"/>
    <lcf76f155ced4ddcb4097134ff3c332f xmlns="77131357-5c03-45fa-a80b-b9111bb46cb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BAAE23-FB7D-4DC6-9ADA-0AC7A1812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131357-5c03-45fa-a80b-b9111bb46cb1"/>
    <ds:schemaRef ds:uri="d3f11db4-a96c-41b4-b8ec-902c72f520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0063C8-8F04-440F-87EF-352A35F73A56}">
  <ds:schemaRefs>
    <ds:schemaRef ds:uri="http://schemas.microsoft.com/office/2006/metadata/properties"/>
    <ds:schemaRef ds:uri="http://schemas.microsoft.com/office/infopath/2007/PartnerControls"/>
    <ds:schemaRef ds:uri="77131357-5c03-45fa-a80b-b9111bb46cb1"/>
    <ds:schemaRef ds:uri="d3f11db4-a96c-41b4-b8ec-902c72f52048"/>
  </ds:schemaRefs>
</ds:datastoreItem>
</file>

<file path=customXml/itemProps3.xml><?xml version="1.0" encoding="utf-8"?>
<ds:datastoreItem xmlns:ds="http://schemas.openxmlformats.org/officeDocument/2006/customXml" ds:itemID="{0C31A32A-2483-482C-842F-07FB5520FC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BIOCOMBUSTIBLES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Maldonado, Maria Belen</dc:creator>
  <cp:lastModifiedBy>Maldonado, Maria Belen</cp:lastModifiedBy>
  <dcterms:created xsi:type="dcterms:W3CDTF">2026-09-23T11:17:59Z</dcterms:created>
  <dcterms:modified xsi:type="dcterms:W3CDTF">2026-09-23T12:16:19Z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0x010100D6CA5EAACE9DA04D9E421A617A76D009</vt:lpwstr>
  </property>
  <property fmtid="{D5CDD505-2E9C-101B-9397-08002B2CF9AE}" pid="3" name="MediaServiceImageTags">
    <vt:lpwstr/>
  </property>
</Properties>
</file>